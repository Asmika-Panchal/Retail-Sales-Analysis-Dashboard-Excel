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asmika\Desktop\DA\GMS\"/>
    </mc:Choice>
  </mc:AlternateContent>
  <xr:revisionPtr revIDLastSave="0" documentId="13_ncr:1_{2AD82EC8-9584-429A-9E5B-D08D2ECE77CF}" xr6:coauthVersionLast="47" xr6:coauthVersionMax="47" xr10:uidLastSave="{00000000-0000-0000-0000-000000000000}"/>
  <bookViews>
    <workbookView xWindow="-108" yWindow="-108" windowWidth="23256" windowHeight="12456" activeTab="2" xr2:uid="{7B473254-C55C-46E5-BD21-912F16699FAE}"/>
  </bookViews>
  <sheets>
    <sheet name="Raw Data" sheetId="4" r:id="rId1"/>
    <sheet name="Dashboard" sheetId="8" r:id="rId2"/>
    <sheet name="Summary" sheetId="14" r:id="rId3"/>
  </sheets>
  <externalReferences>
    <externalReference r:id="rId4"/>
  </externalReferences>
  <definedNames>
    <definedName name="_xlcn.WorksheetConnection_Project.xlsxTable21" hidden="1">Table2[]</definedName>
    <definedName name="SalesCol">[1]!Table2[Sales]</definedName>
    <definedName name="SalesTable">'Raw Data'!$A$1:$L$201</definedName>
    <definedName name="Slicer_Category">#N/A</definedName>
    <definedName name="Slicer_Region">#N/A</definedName>
    <definedName name="Slicer_SalesPerson">#N/A</definedName>
  </definedNames>
  <calcPr calcId="191029"/>
  <pivotCaches>
    <pivotCache cacheId="0" r:id="rId5"/>
    <pivotCache cacheId="511" r:id="rId6"/>
    <pivotCache cacheId="514" r:id="rId7"/>
    <pivotCache cacheId="517" r:id="rId8"/>
    <pivotCache cacheId="520" r:id="rId9"/>
    <pivotCache cacheId="523" r:id="rId10"/>
    <pivotCache cacheId="526" r:id="rId11"/>
    <pivotCache cacheId="529" r:id="rId12"/>
  </pivotCaches>
  <extLst>
    <ext xmlns:x14="http://schemas.microsoft.com/office/spreadsheetml/2009/9/main" uri="{876F7934-8845-4945-9796-88D515C7AA90}">
      <x14:pivotCaches>
        <pivotCache cacheId="8" r:id="rId13"/>
      </x14:pivotCaches>
    </ex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Project.xlsx!Table2"/>
          <x15:modelTable id="SalesTable" name="SalesTable" connection="WorksheetConnection_Project.xlsx!Sales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 i="8" l="1"/>
  <c r="E8" i="8"/>
  <c r="T8" i="8"/>
  <c r="P8" i="8"/>
  <c r="M8" i="8"/>
  <c r="J8" i="8"/>
  <c r="B2" i="4"/>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 i="4"/>
  <c r="K2"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8617178-1133-4F7F-AF16-E859CAEBB91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CC04CAC-4116-4377-9868-95B8E7EE9D21}" name="WorksheetConnection_Project.xlsx!SalesTable" type="102" refreshedVersion="8" minRefreshableVersion="5">
    <extLst>
      <ext xmlns:x15="http://schemas.microsoft.com/office/spreadsheetml/2010/11/main" uri="{DE250136-89BD-433C-8126-D09CA5730AF9}">
        <x15:connection id="SalesTable" autoDelete="1">
          <x15:rangePr sourceName="SalesTable"/>
        </x15:connection>
      </ext>
    </extLst>
  </connection>
  <connection id="3" xr16:uid="{6EB545E0-B82F-49C6-8E10-9C829EE08C98}" name="WorksheetConnection_Project.xlsx!Table2" type="102" refreshedVersion="8" minRefreshableVersion="5">
    <extLst>
      <ext xmlns:x15="http://schemas.microsoft.com/office/spreadsheetml/2010/11/main" uri="{DE250136-89BD-433C-8126-D09CA5730AF9}">
        <x15:connection id="Table2">
          <x15:rangePr sourceName="_xlcn.WorksheetConnection_Project.xlsxTable21"/>
        </x15:connection>
      </ext>
    </extLst>
  </connection>
</connections>
</file>

<file path=xl/sharedStrings.xml><?xml version="1.0" encoding="utf-8"?>
<sst xmlns="http://schemas.openxmlformats.org/spreadsheetml/2006/main" count="1099" uniqueCount="261">
  <si>
    <t>Date</t>
  </si>
  <si>
    <t>Region</t>
  </si>
  <si>
    <t>Category</t>
  </si>
  <si>
    <t>Product</t>
  </si>
  <si>
    <t>SalesPerson</t>
  </si>
  <si>
    <t>Quantity</t>
  </si>
  <si>
    <t>Price</t>
  </si>
  <si>
    <t>Sales</t>
  </si>
  <si>
    <t>West</t>
  </si>
  <si>
    <t>Snacks</t>
  </si>
  <si>
    <t>Chips</t>
  </si>
  <si>
    <t>Amit</t>
  </si>
  <si>
    <t>East</t>
  </si>
  <si>
    <t>Beverages</t>
  </si>
  <si>
    <t>Juice</t>
  </si>
  <si>
    <t>Neha</t>
  </si>
  <si>
    <t>North</t>
  </si>
  <si>
    <t>Biscuits</t>
  </si>
  <si>
    <t>Raj</t>
  </si>
  <si>
    <t>South</t>
  </si>
  <si>
    <t>Dairy</t>
  </si>
  <si>
    <t>Milk</t>
  </si>
  <si>
    <t>Priya</t>
  </si>
  <si>
    <t>Soda</t>
  </si>
  <si>
    <t>Total Sales</t>
  </si>
  <si>
    <t>Sales Person</t>
  </si>
  <si>
    <t>Total Quantity</t>
  </si>
  <si>
    <t>Cheese</t>
  </si>
  <si>
    <t>Grand Total</t>
  </si>
  <si>
    <t>Regions</t>
  </si>
  <si>
    <t>Products</t>
  </si>
  <si>
    <t>Target</t>
  </si>
  <si>
    <t>Target Hit %</t>
  </si>
  <si>
    <t>18-07-2024</t>
  </si>
  <si>
    <t>17-07-2024</t>
  </si>
  <si>
    <t>16-07-2024</t>
  </si>
  <si>
    <t>15-07-2024</t>
  </si>
  <si>
    <t>14-07-2024</t>
  </si>
  <si>
    <t>13-07-2024</t>
  </si>
  <si>
    <t>12-07-2024</t>
  </si>
  <si>
    <t>11-07-2024</t>
  </si>
  <si>
    <t>10-07-2024</t>
  </si>
  <si>
    <t>09-07-2024</t>
  </si>
  <si>
    <t>08-07-2024</t>
  </si>
  <si>
    <t>07-07-2024</t>
  </si>
  <si>
    <t>06-07-2024</t>
  </si>
  <si>
    <t>05-07-2024</t>
  </si>
  <si>
    <t>04-07-2024</t>
  </si>
  <si>
    <t>03-07-2024</t>
  </si>
  <si>
    <t>02-07-2024</t>
  </si>
  <si>
    <t>01-07-2024</t>
  </si>
  <si>
    <t>30-06-2024</t>
  </si>
  <si>
    <t>29-06-2024</t>
  </si>
  <si>
    <t>28-06-2024</t>
  </si>
  <si>
    <t>27-06-2024</t>
  </si>
  <si>
    <t>26-06-2024</t>
  </si>
  <si>
    <t>25-06-2024</t>
  </si>
  <si>
    <t>24-06-2024</t>
  </si>
  <si>
    <t>23-06-2024</t>
  </si>
  <si>
    <t>22-06-2024</t>
  </si>
  <si>
    <t>21-06-2024</t>
  </si>
  <si>
    <t>20-06-2024</t>
  </si>
  <si>
    <t>19-06-2024</t>
  </si>
  <si>
    <t>18-06-2024</t>
  </si>
  <si>
    <t>17-06-2024</t>
  </si>
  <si>
    <t>16-06-2024</t>
  </si>
  <si>
    <t>15-06-2024</t>
  </si>
  <si>
    <t>14-06-2024</t>
  </si>
  <si>
    <t>13-06-2024</t>
  </si>
  <si>
    <t>12-06-2024</t>
  </si>
  <si>
    <t>11-06-2024</t>
  </si>
  <si>
    <t>10-06-2024</t>
  </si>
  <si>
    <t>09-06-2024</t>
  </si>
  <si>
    <t>08-06-2024</t>
  </si>
  <si>
    <t>07-06-2024</t>
  </si>
  <si>
    <t>06-06-2024</t>
  </si>
  <si>
    <t>05-06-2024</t>
  </si>
  <si>
    <t>04-06-2024</t>
  </si>
  <si>
    <t>03-06-2024</t>
  </si>
  <si>
    <t>02-06-2024</t>
  </si>
  <si>
    <t>01-06-2024</t>
  </si>
  <si>
    <t>31-05-2024</t>
  </si>
  <si>
    <t>30-05-2024</t>
  </si>
  <si>
    <t>29-05-2024</t>
  </si>
  <si>
    <t>28-05-2024</t>
  </si>
  <si>
    <t>27-05-2024</t>
  </si>
  <si>
    <t>26-05-2024</t>
  </si>
  <si>
    <t>25-05-2024</t>
  </si>
  <si>
    <t>24-05-2024</t>
  </si>
  <si>
    <t>23-05-2024</t>
  </si>
  <si>
    <t>22-05-2024</t>
  </si>
  <si>
    <t>21-05-2024</t>
  </si>
  <si>
    <t>20-05-2024</t>
  </si>
  <si>
    <t>19-05-2024</t>
  </si>
  <si>
    <t>18-05-2024</t>
  </si>
  <si>
    <t>17-05-2024</t>
  </si>
  <si>
    <t>16-05-2024</t>
  </si>
  <si>
    <t>15-05-2024</t>
  </si>
  <si>
    <t>14-05-2024</t>
  </si>
  <si>
    <t>13-05-2024</t>
  </si>
  <si>
    <t>12-05-2024</t>
  </si>
  <si>
    <t>11-05-2024</t>
  </si>
  <si>
    <t>10-05-2024</t>
  </si>
  <si>
    <t>09-05-2024</t>
  </si>
  <si>
    <t>08-05-2024</t>
  </si>
  <si>
    <t>07-05-2024</t>
  </si>
  <si>
    <t>06-05-2024</t>
  </si>
  <si>
    <t>05-05-2024</t>
  </si>
  <si>
    <t>04-05-2024</t>
  </si>
  <si>
    <t>03-05-2024</t>
  </si>
  <si>
    <t>02-05-2024</t>
  </si>
  <si>
    <t>01-05-2024</t>
  </si>
  <si>
    <t>30-04-2024</t>
  </si>
  <si>
    <t>29-04-2024</t>
  </si>
  <si>
    <t>28-04-2024</t>
  </si>
  <si>
    <t>27-04-2024</t>
  </si>
  <si>
    <t>26-04-2024</t>
  </si>
  <si>
    <t>25-04-2024</t>
  </si>
  <si>
    <t>24-04-2024</t>
  </si>
  <si>
    <t>23-04-2024</t>
  </si>
  <si>
    <t>22-04-2024</t>
  </si>
  <si>
    <t>21-04-2024</t>
  </si>
  <si>
    <t>20-04-2024</t>
  </si>
  <si>
    <t>19-04-2024</t>
  </si>
  <si>
    <t>18-04-2024</t>
  </si>
  <si>
    <t>17-04-2024</t>
  </si>
  <si>
    <t>16-04-2024</t>
  </si>
  <si>
    <t>15-04-2024</t>
  </si>
  <si>
    <t>14-04-2024</t>
  </si>
  <si>
    <t>13-04-2024</t>
  </si>
  <si>
    <t>12-04-2024</t>
  </si>
  <si>
    <t>11-04-2024</t>
  </si>
  <si>
    <t>10-04-2024</t>
  </si>
  <si>
    <t>09-04-2024</t>
  </si>
  <si>
    <t>08-04-2024</t>
  </si>
  <si>
    <t>07-04-2024</t>
  </si>
  <si>
    <t>06-04-2024</t>
  </si>
  <si>
    <t>05-04-2024</t>
  </si>
  <si>
    <t>04-04-2024</t>
  </si>
  <si>
    <t>03-04-2024</t>
  </si>
  <si>
    <t>02-04-2024</t>
  </si>
  <si>
    <t>01-04-2024</t>
  </si>
  <si>
    <t>31-03-2024</t>
  </si>
  <si>
    <t>30-03-2024</t>
  </si>
  <si>
    <t>29-03-2024</t>
  </si>
  <si>
    <t>28-03-2024</t>
  </si>
  <si>
    <t>27-03-2024</t>
  </si>
  <si>
    <t>26-03-2024</t>
  </si>
  <si>
    <t>25-03-2024</t>
  </si>
  <si>
    <t>24-03-2024</t>
  </si>
  <si>
    <t>23-03-2024</t>
  </si>
  <si>
    <t>22-03-2024</t>
  </si>
  <si>
    <t>21-03-2024</t>
  </si>
  <si>
    <t>20-03-2024</t>
  </si>
  <si>
    <t>19-03-2024</t>
  </si>
  <si>
    <t>18-03-2024</t>
  </si>
  <si>
    <t>17-03-2024</t>
  </si>
  <si>
    <t>16-03-2024</t>
  </si>
  <si>
    <t>15-03-2024</t>
  </si>
  <si>
    <t>14-03-2024</t>
  </si>
  <si>
    <t>13-03-2024</t>
  </si>
  <si>
    <t>12-03-2024</t>
  </si>
  <si>
    <t>11-03-2024</t>
  </si>
  <si>
    <t>10-03-2024</t>
  </si>
  <si>
    <t>09-03-2024</t>
  </si>
  <si>
    <t>08-03-2024</t>
  </si>
  <si>
    <t>07-03-2024</t>
  </si>
  <si>
    <t>06-03-2024</t>
  </si>
  <si>
    <t>05-03-2024</t>
  </si>
  <si>
    <t>04-03-2024</t>
  </si>
  <si>
    <t>03-03-2024</t>
  </si>
  <si>
    <t>02-03-2024</t>
  </si>
  <si>
    <t>01-03-2024</t>
  </si>
  <si>
    <t>29-02-2024</t>
  </si>
  <si>
    <t>28-02-2024</t>
  </si>
  <si>
    <t>27-02-2024</t>
  </si>
  <si>
    <t>26-02-2024</t>
  </si>
  <si>
    <t>25-02-2024</t>
  </si>
  <si>
    <t>24-02-2024</t>
  </si>
  <si>
    <t>23-02-2024</t>
  </si>
  <si>
    <t>22-02-2024</t>
  </si>
  <si>
    <t>21-02-2024</t>
  </si>
  <si>
    <t>20-02-2024</t>
  </si>
  <si>
    <t>19-02-2024</t>
  </si>
  <si>
    <t>18-02-2024</t>
  </si>
  <si>
    <t>17-02-2024</t>
  </si>
  <si>
    <t>16-02-2024</t>
  </si>
  <si>
    <t>15-02-2024</t>
  </si>
  <si>
    <t>14-02-2024</t>
  </si>
  <si>
    <t>13-02-2024</t>
  </si>
  <si>
    <t>12-02-2024</t>
  </si>
  <si>
    <t>11-02-2024</t>
  </si>
  <si>
    <t>10-02-2024</t>
  </si>
  <si>
    <t>09-02-2024</t>
  </si>
  <si>
    <t>08-02-2024</t>
  </si>
  <si>
    <t>07-02-2024</t>
  </si>
  <si>
    <t>06-02-2024</t>
  </si>
  <si>
    <t>05-02-2024</t>
  </si>
  <si>
    <t>04-02-2024</t>
  </si>
  <si>
    <t>03-02-2024</t>
  </si>
  <si>
    <t>02-02-2024</t>
  </si>
  <si>
    <t>01-02-2024</t>
  </si>
  <si>
    <t>31-01-2024</t>
  </si>
  <si>
    <t>30-01-2024</t>
  </si>
  <si>
    <t>29-01-2024</t>
  </si>
  <si>
    <t>28-01-2024</t>
  </si>
  <si>
    <t>27-01-2024</t>
  </si>
  <si>
    <t>26-01-2024</t>
  </si>
  <si>
    <t>25-01-2024</t>
  </si>
  <si>
    <t>24-01-2024</t>
  </si>
  <si>
    <t>23-01-2024</t>
  </si>
  <si>
    <t>22-01-2024</t>
  </si>
  <si>
    <t>21-01-2024</t>
  </si>
  <si>
    <t>20-01-2024</t>
  </si>
  <si>
    <t>19-01-2024</t>
  </si>
  <si>
    <t>18-01-2024</t>
  </si>
  <si>
    <t>17-01-2024</t>
  </si>
  <si>
    <t>16-01-2024</t>
  </si>
  <si>
    <t>15-01-2024</t>
  </si>
  <si>
    <t>14-01-2024</t>
  </si>
  <si>
    <t>13-01-2024</t>
  </si>
  <si>
    <t>12-01-2024</t>
  </si>
  <si>
    <t>11-01-2024</t>
  </si>
  <si>
    <t>10-01-2024</t>
  </si>
  <si>
    <t>09-01-2024</t>
  </si>
  <si>
    <t>08-01-2024</t>
  </si>
  <si>
    <t>07-01-2024</t>
  </si>
  <si>
    <t>06-01-2024</t>
  </si>
  <si>
    <t>05-01-2024</t>
  </si>
  <si>
    <t>04-01-2024</t>
  </si>
  <si>
    <t>03-01-2024</t>
  </si>
  <si>
    <t>02-01-2024</t>
  </si>
  <si>
    <t>01-01-2024</t>
  </si>
  <si>
    <t>Away  from Target%</t>
  </si>
  <si>
    <t>Month</t>
  </si>
  <si>
    <t>April</t>
  </si>
  <si>
    <t>February</t>
  </si>
  <si>
    <t>January</t>
  </si>
  <si>
    <t>July</t>
  </si>
  <si>
    <t>June</t>
  </si>
  <si>
    <t>March</t>
  </si>
  <si>
    <t>May</t>
  </si>
  <si>
    <t>Categories</t>
  </si>
  <si>
    <t>SALES SUMMARY REPORT</t>
  </si>
  <si>
    <t>Target Achievement %</t>
  </si>
  <si>
    <t>Top Region</t>
  </si>
  <si>
    <t>Top Category</t>
  </si>
  <si>
    <t>Top Product</t>
  </si>
  <si>
    <t>Top Salesperson</t>
  </si>
  <si>
    <t>East region has highest sales.</t>
  </si>
  <si>
    <t>Total sales is 75165.</t>
  </si>
  <si>
    <t>North region needs improvement.</t>
  </si>
  <si>
    <t>SUMMARY</t>
  </si>
  <si>
    <t>Dairy is the best category selling.</t>
  </si>
  <si>
    <t>Raj is top performer overall with highest sales.</t>
  </si>
  <si>
    <t>Region Wise Analysis</t>
  </si>
  <si>
    <t>East - Highest category Snacks, Highest product Chips, Best performer Raj</t>
  </si>
  <si>
    <t>North - Highest category Dairy, Highest product Cheese, Best performer Neha</t>
  </si>
  <si>
    <t>South - Highest category Beverages, Highest product Chips, Best performer Raj</t>
  </si>
  <si>
    <t>West - Highest category Dairy, Highest product Cheese, Best performer Raj</t>
  </si>
  <si>
    <t>SALES ANALYSIS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</si>
</sst>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font>
      <sz val="11"/>
      <color theme="1"/>
      <name val="Aptos Narrow"/>
      <family val="2"/>
      <scheme val="minor"/>
    </font>
    <font>
      <b/>
      <sz val="11"/>
      <color theme="1"/>
      <name val="Aptos Narrow"/>
      <family val="2"/>
      <scheme val="minor"/>
    </font>
    <font>
      <b/>
      <sz val="14"/>
      <color theme="1"/>
      <name val="Aptos Narrow"/>
      <family val="2"/>
      <scheme val="minor"/>
    </font>
    <font>
      <b/>
      <sz val="15"/>
      <color theme="3"/>
      <name val="Aptos Narrow"/>
      <family val="2"/>
      <scheme val="minor"/>
    </font>
    <font>
      <sz val="11"/>
      <color rgb="FF000000"/>
      <name val="Aptos Narrow"/>
      <family val="2"/>
      <scheme val="minor"/>
    </font>
    <font>
      <b/>
      <sz val="16"/>
      <color theme="1"/>
      <name val="Aptos Narrow"/>
      <family val="2"/>
      <scheme val="minor"/>
    </font>
    <font>
      <b/>
      <i/>
      <sz val="16"/>
      <name val="Aptos Narrow"/>
      <family val="2"/>
      <scheme val="minor"/>
    </font>
    <font>
      <i/>
      <sz val="16"/>
      <name val="Aptos Narrow"/>
      <family val="2"/>
      <scheme val="minor"/>
    </font>
  </fonts>
  <fills count="7">
    <fill>
      <patternFill patternType="none"/>
    </fill>
    <fill>
      <patternFill patternType="gray125"/>
    </fill>
    <fill>
      <patternFill patternType="solid">
        <fgColor rgb="FF76E3FF"/>
        <bgColor indexed="64"/>
      </patternFill>
    </fill>
    <fill>
      <patternFill patternType="solid">
        <fgColor theme="4" tint="0.59999389629810485"/>
        <bgColor indexed="65"/>
      </patternFill>
    </fill>
    <fill>
      <patternFill patternType="solid">
        <fgColor theme="5" tint="0.59999389629810485"/>
        <bgColor indexed="65"/>
      </patternFill>
    </fill>
    <fill>
      <patternFill patternType="solid">
        <fgColor theme="8" tint="0.59999389629810485"/>
        <bgColor indexed="65"/>
      </patternFill>
    </fill>
    <fill>
      <patternFill patternType="solid">
        <fgColor theme="9" tint="0.59999389629810485"/>
        <bgColor indexed="65"/>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ck">
        <color theme="4"/>
      </bottom>
      <diagonal/>
    </border>
  </borders>
  <cellStyleXfs count="2">
    <xf numFmtId="0" fontId="0" fillId="0" borderId="0"/>
    <xf numFmtId="0" fontId="3" fillId="0" borderId="9" applyNumberFormat="0" applyFill="0" applyAlignment="0" applyProtection="0"/>
  </cellStyleXfs>
  <cellXfs count="40">
    <xf numFmtId="0" fontId="0" fillId="0" borderId="0" xfId="0"/>
    <xf numFmtId="0" fontId="0" fillId="0" borderId="1" xfId="0" applyBorder="1"/>
    <xf numFmtId="0" fontId="1" fillId="0" borderId="5" xfId="0" applyFont="1" applyBorder="1"/>
    <xf numFmtId="0" fontId="1" fillId="0" borderId="6" xfId="0" applyFont="1" applyBorder="1"/>
    <xf numFmtId="0" fontId="0" fillId="0" borderId="8" xfId="0" applyBorder="1"/>
    <xf numFmtId="10" fontId="0" fillId="0" borderId="1" xfId="0" applyNumberFormat="1" applyBorder="1"/>
    <xf numFmtId="10" fontId="0" fillId="0" borderId="2" xfId="0" applyNumberFormat="1" applyBorder="1"/>
    <xf numFmtId="14" fontId="0" fillId="0" borderId="3" xfId="0" applyNumberFormat="1" applyBorder="1"/>
    <xf numFmtId="14" fontId="0" fillId="0" borderId="7" xfId="0" applyNumberFormat="1" applyBorder="1"/>
    <xf numFmtId="14" fontId="1" fillId="0" borderId="4" xfId="0" applyNumberFormat="1" applyFont="1" applyBorder="1"/>
    <xf numFmtId="14" fontId="0" fillId="0" borderId="0" xfId="0" applyNumberFormat="1"/>
    <xf numFmtId="0" fontId="2" fillId="0" borderId="0" xfId="0" applyFont="1" applyAlignment="1">
      <alignment horizontal="center"/>
    </xf>
    <xf numFmtId="0" fontId="0" fillId="0" borderId="1" xfId="0" pivotButton="1" applyBorder="1"/>
    <xf numFmtId="0" fontId="0" fillId="0" borderId="1" xfId="0" applyBorder="1" applyAlignment="1">
      <alignment horizontal="left"/>
    </xf>
    <xf numFmtId="2" fontId="0" fillId="0" borderId="1" xfId="0" applyNumberFormat="1" applyBorder="1"/>
    <xf numFmtId="0" fontId="0" fillId="0" borderId="1" xfId="0" applyBorder="1" applyAlignment="1">
      <alignment horizontal="center"/>
    </xf>
    <xf numFmtId="0" fontId="1" fillId="0" borderId="0" xfId="0" applyFont="1"/>
    <xf numFmtId="0" fontId="2" fillId="0" borderId="0" xfId="0" applyFont="1" applyAlignment="1">
      <alignment horizontal="center"/>
    </xf>
    <xf numFmtId="0" fontId="0" fillId="4" borderId="1" xfId="0" applyFont="1" applyFill="1" applyBorder="1" applyAlignment="1">
      <alignment horizontal="left"/>
    </xf>
    <xf numFmtId="2" fontId="0" fillId="4" borderId="1" xfId="0" applyNumberFormat="1" applyFont="1" applyFill="1" applyBorder="1"/>
    <xf numFmtId="0" fontId="0" fillId="0" borderId="1" xfId="0" applyNumberFormat="1" applyBorder="1"/>
    <xf numFmtId="0" fontId="0" fillId="3" borderId="1" xfId="0" applyNumberFormat="1" applyFont="1" applyFill="1" applyBorder="1"/>
    <xf numFmtId="0" fontId="0" fillId="3" borderId="1" xfId="0" applyFont="1" applyFill="1" applyBorder="1" applyAlignment="1">
      <alignment horizontal="left"/>
    </xf>
    <xf numFmtId="2" fontId="0" fillId="3" borderId="1" xfId="0" applyNumberFormat="1" applyFont="1" applyFill="1" applyBorder="1"/>
    <xf numFmtId="0" fontId="0" fillId="4" borderId="1" xfId="0" applyNumberFormat="1" applyFont="1" applyFill="1" applyBorder="1"/>
    <xf numFmtId="0" fontId="0" fillId="6" borderId="1" xfId="0" applyNumberFormat="1" applyFont="1" applyFill="1" applyBorder="1"/>
    <xf numFmtId="0" fontId="0" fillId="6" borderId="1" xfId="0" applyFont="1" applyFill="1" applyBorder="1" applyAlignment="1">
      <alignment horizontal="left"/>
    </xf>
    <xf numFmtId="0" fontId="0" fillId="5" borderId="1" xfId="0" applyNumberFormat="1" applyFont="1" applyFill="1" applyBorder="1"/>
    <xf numFmtId="0" fontId="0" fillId="5" borderId="1" xfId="0" applyFont="1" applyFill="1" applyBorder="1" applyAlignment="1">
      <alignment horizontal="left"/>
    </xf>
    <xf numFmtId="0" fontId="4" fillId="0" borderId="0" xfId="0" applyFont="1" applyFill="1" applyAlignment="1">
      <alignment vertical="center"/>
    </xf>
    <xf numFmtId="0" fontId="4" fillId="0" borderId="0" xfId="0" applyFont="1" applyFill="1"/>
    <xf numFmtId="0" fontId="1" fillId="0" borderId="1" xfId="0" applyFont="1" applyBorder="1"/>
    <xf numFmtId="0" fontId="2" fillId="0" borderId="0" xfId="0" applyFont="1"/>
    <xf numFmtId="0" fontId="6" fillId="2" borderId="0" xfId="1" applyFont="1" applyFill="1" applyBorder="1" applyAlignment="1">
      <alignment horizontal="center" vertical="center"/>
    </xf>
    <xf numFmtId="0" fontId="5" fillId="0" borderId="0" xfId="0" applyFont="1" applyAlignment="1">
      <alignment horizontal="center"/>
    </xf>
    <xf numFmtId="0" fontId="1" fillId="0" borderId="0" xfId="0" applyFont="1" applyFill="1" applyBorder="1"/>
    <xf numFmtId="0" fontId="0" fillId="0" borderId="0" xfId="0" applyFill="1" applyBorder="1" applyAlignment="1">
      <alignment horizontal="center" vertical="center"/>
    </xf>
    <xf numFmtId="0" fontId="2" fillId="0" borderId="0" xfId="0" applyFont="1" applyFill="1" applyBorder="1" applyAlignment="1">
      <alignment horizontal="center"/>
    </xf>
    <xf numFmtId="0" fontId="2" fillId="0" borderId="0" xfId="0" applyFont="1" applyFill="1" applyBorder="1" applyAlignment="1">
      <alignment horizontal="center" vertical="center"/>
    </xf>
    <xf numFmtId="0" fontId="7" fillId="0" borderId="0" xfId="1" applyFont="1" applyFill="1" applyBorder="1" applyAlignment="1">
      <alignment vertical="center"/>
    </xf>
  </cellXfs>
  <cellStyles count="2">
    <cellStyle name="Heading 1" xfId="1" builtinId="16"/>
    <cellStyle name="Normal" xfId="0" builtinId="0"/>
  </cellStyles>
  <dxfs count="82">
    <dxf>
      <numFmt numFmtId="0" formatCode="General"/>
      <border diagonalUp="0" diagonalDown="0">
        <left style="thin">
          <color indexed="64"/>
        </left>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9" formatCode="dd/mm/yyyy"/>
      <border diagonalUp="0" diagonalDown="0">
        <left style="thin">
          <color indexed="64"/>
        </left>
        <right style="thin">
          <color indexed="64"/>
        </right>
        <top style="thin">
          <color indexed="64"/>
        </top>
        <bottom style="thin">
          <color indexed="64"/>
        </bottom>
      </border>
    </dxf>
    <dxf>
      <numFmt numFmtId="19" formatCode="dd/mm/yyyy"/>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Aptos Narrow"/>
        <family val="2"/>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minor"/>
      </font>
      <fill>
        <patternFill patternType="solid">
          <fgColor indexed="65"/>
          <bgColor theme="4" tint="0.59999389629810485"/>
        </patternFill>
      </fill>
    </dxf>
    <dxf>
      <font>
        <b val="0"/>
        <i val="0"/>
        <strike val="0"/>
        <condense val="0"/>
        <extend val="0"/>
        <outline val="0"/>
        <shadow val="0"/>
        <u val="none"/>
        <vertAlign val="baseline"/>
        <sz val="11"/>
        <color theme="1"/>
        <name val="Aptos Narrow"/>
        <family val="2"/>
        <scheme val="minor"/>
      </font>
      <fill>
        <patternFill patternType="solid">
          <fgColor indexed="65"/>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font>
        <b val="0"/>
        <i val="0"/>
        <strike val="0"/>
        <condense val="0"/>
        <extend val="0"/>
        <outline val="0"/>
        <shadow val="0"/>
        <u val="none"/>
        <vertAlign val="baseline"/>
        <sz val="11"/>
        <color theme="1"/>
        <name val="Aptos Narrow"/>
        <family val="2"/>
        <scheme val="minor"/>
      </font>
      <fill>
        <patternFill patternType="solid">
          <fgColor indexed="65"/>
          <bgColor theme="8" tint="0.59999389629810485"/>
        </patternFill>
      </fill>
    </dxf>
    <dxf>
      <font>
        <b val="0"/>
        <i val="0"/>
        <strike val="0"/>
        <condense val="0"/>
        <extend val="0"/>
        <outline val="0"/>
        <shadow val="0"/>
        <u val="none"/>
        <vertAlign val="baseline"/>
        <sz val="11"/>
        <color theme="1"/>
        <name val="Aptos Narrow"/>
        <family val="2"/>
        <scheme val="minor"/>
      </font>
      <fill>
        <patternFill patternType="solid">
          <fgColor indexed="65"/>
          <bgColor theme="8"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fill>
        <patternFill patternType="solid">
          <fgColor indexed="65"/>
          <bgColor theme="5" tint="0.59999389629810485"/>
        </patternFill>
      </fill>
    </dxf>
    <dxf>
      <font>
        <b val="0"/>
        <i val="0"/>
        <strike val="0"/>
        <condense val="0"/>
        <extend val="0"/>
        <outline val="0"/>
        <shadow val="0"/>
        <u val="none"/>
        <vertAlign val="baseline"/>
        <sz val="11"/>
        <color theme="1"/>
        <name val="Aptos Narrow"/>
        <family val="2"/>
        <scheme val="minor"/>
      </font>
      <fill>
        <patternFill patternType="solid">
          <fgColor indexed="65"/>
          <bgColor theme="5"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fill>
        <patternFill patternType="solid">
          <fgColor indexed="65"/>
          <bgColor theme="9" tint="0.59999389629810485"/>
        </patternFill>
      </fill>
    </dxf>
    <dxf>
      <font>
        <b val="0"/>
        <i val="0"/>
        <strike val="0"/>
        <condense val="0"/>
        <extend val="0"/>
        <outline val="0"/>
        <shadow val="0"/>
        <u val="none"/>
        <vertAlign val="baseline"/>
        <sz val="11"/>
        <color theme="1"/>
        <name val="Aptos Narrow"/>
        <family val="2"/>
        <scheme val="minor"/>
      </font>
      <fill>
        <patternFill patternType="solid">
          <fgColor indexed="65"/>
          <bgColor theme="9"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fill>
        <patternFill patternType="solid">
          <fgColor indexed="65"/>
          <bgColor theme="4" tint="0.59999389629810485"/>
        </patternFill>
      </fill>
    </dxf>
    <dxf>
      <font>
        <b val="0"/>
        <i val="0"/>
        <strike val="0"/>
        <condense val="0"/>
        <extend val="0"/>
        <outline val="0"/>
        <shadow val="0"/>
        <u val="none"/>
        <vertAlign val="baseline"/>
        <sz val="11"/>
        <color theme="1"/>
        <name val="Aptos Narrow"/>
        <family val="2"/>
        <scheme val="minor"/>
      </font>
      <fill>
        <patternFill patternType="solid">
          <fgColor indexed="65"/>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fill>
        <patternFill patternType="solid">
          <fgColor indexed="65"/>
          <bgColor theme="5"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font>
        <b val="0"/>
        <i val="0"/>
        <strike val="0"/>
        <condense val="0"/>
        <extend val="0"/>
        <outline val="0"/>
        <shadow val="0"/>
        <u val="none"/>
        <vertAlign val="baseline"/>
        <sz val="11"/>
        <color theme="1"/>
        <name val="Aptos Narrow"/>
        <family val="2"/>
        <scheme val="minor"/>
      </font>
      <fill>
        <patternFill patternType="solid">
          <fgColor indexed="65"/>
          <bgColor theme="5" tint="0.59999389629810485"/>
        </patternFill>
      </fill>
    </dxf>
    <dxf>
      <font>
        <b val="0"/>
        <i val="0"/>
        <strike val="0"/>
        <condense val="0"/>
        <extend val="0"/>
        <outline val="0"/>
        <shadow val="0"/>
        <u val="none"/>
        <vertAlign val="baseline"/>
        <sz val="11"/>
        <color theme="1"/>
        <name val="Aptos Narrow"/>
        <family val="2"/>
        <scheme val="minor"/>
      </font>
      <fill>
        <patternFill patternType="solid">
          <fgColor indexed="65"/>
          <bgColor theme="5"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1" defaultTableStyle="TableStyleMedium2" defaultPivotStyle="PivotStyleLight16">
    <tableStyle name="Slicer Style 1" pivot="0" table="0" count="3" xr9:uid="{3351ED0A-37CE-427F-8552-CEB7F35D0F40}"/>
  </tableStyles>
  <colors>
    <mruColors>
      <color rgb="FFF9F1C3"/>
      <color rgb="FF32B1EA"/>
      <color rgb="FFE682C0"/>
      <color rgb="FFD6F3FE"/>
      <color rgb="FFD7FAFD"/>
      <color rgb="FFFFF5D5"/>
      <color rgb="FFFFE79B"/>
      <color rgb="FFE46EA3"/>
      <color rgb="FFF4E694"/>
      <color rgb="FF0F3D16"/>
    </mruColors>
  </colors>
  <extLst>
    <ext xmlns:x14="http://schemas.microsoft.com/office/spreadsheetml/2009/9/main" uri="{46F421CA-312F-682f-3DD2-61675219B42D}">
      <x14:dxfs count="3">
        <dxf>
          <fill>
            <patternFill>
              <bgColor rgb="FFFFE79B"/>
            </patternFill>
          </fill>
        </dxf>
        <dxf>
          <fill>
            <patternFill>
              <bgColor rgb="FFFFC000"/>
            </patternFill>
          </fill>
          <border>
            <left style="medium">
              <color auto="1"/>
            </left>
            <right style="medium">
              <color auto="1"/>
            </right>
            <top style="medium">
              <color auto="1"/>
            </top>
            <bottom style="medium">
              <color auto="1"/>
            </bottom>
          </border>
        </dxf>
        <dxf>
          <fill>
            <patternFill>
              <bgColor rgb="FFF9F1C3"/>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ustomXml" Target="../customXml/item2.xml"/><Relationship Id="rId5" Type="http://schemas.openxmlformats.org/officeDocument/2006/relationships/pivotCacheDefinition" Target="pivotCache/pivotCacheDefinition1.xml"/><Relationship Id="rId15" Type="http://schemas.microsoft.com/office/2007/relationships/slicerCache" Target="slicerCaches/slicerCache2.xml"/><Relationship Id="rId23" Type="http://schemas.openxmlformats.org/officeDocument/2006/relationships/customXml" Target="../customXml/item1.xml"/><Relationship Id="rId28" Type="http://schemas.microsoft.com/office/2006/relationships/vbaProject" Target="vbaProject.bin"/><Relationship Id="rId10" Type="http://schemas.openxmlformats.org/officeDocument/2006/relationships/pivotCacheDefinition" Target="pivotCache/pivotCacheDefinition6.xml"/><Relationship Id="rId19" Type="http://schemas.openxmlformats.org/officeDocument/2006/relationships/styles" Target="styles.xml"/><Relationship Id="rId4" Type="http://schemas.openxmlformats.org/officeDocument/2006/relationships/externalLink" Target="externalLinks/externalLink1.xml"/><Relationship Id="rId9" Type="http://schemas.openxmlformats.org/officeDocument/2006/relationships/pivotCacheDefinition" Target="pivotCache/pivotCacheDefinition5.xml"/><Relationship Id="rId14" Type="http://schemas.microsoft.com/office/2007/relationships/slicerCache" Target="slicerCaches/slicerCache1.xml"/><Relationship Id="rId22" Type="http://schemas.openxmlformats.org/officeDocument/2006/relationships/calcChain" Target="calcChain.xml"/><Relationship Id="rId27" Type="http://schemas.openxmlformats.org/officeDocument/2006/relationships/customXml" Target="../customXml/item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title>
      <c:tx>
        <c:rich>
          <a:bodyPr rot="0" spcFirstLastPara="1" vertOverflow="ellipsis" vert="horz" wrap="square" anchor="ctr" anchorCtr="1"/>
          <a:lstStyle/>
          <a:p>
            <a:pPr>
              <a:defRPr lang="en-US" sz="1400" b="0" i="0" u="none" strike="noStrike" kern="1200" spc="0" baseline="0">
                <a:solidFill>
                  <a:schemeClr val="dk1"/>
                </a:solidFill>
                <a:latin typeface="+mn-lt"/>
                <a:ea typeface="+mn-ea"/>
                <a:cs typeface="+mn-cs"/>
              </a:defRPr>
            </a:pPr>
            <a:r>
              <a:rPr lang="en-US" sz="1400" b="1"/>
              <a:t>SALES</a:t>
            </a:r>
            <a:r>
              <a:rPr lang="en-US" sz="1400" b="1" baseline="0"/>
              <a:t> BY TARGET HIT %</a:t>
            </a:r>
            <a:endParaRPr lang="en-US" sz="1400" b="1"/>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rgbClr val="F4D8F1"/>
            </a:solidFill>
            <a:ln w="0">
              <a:solidFill>
                <a:srgbClr val="002060"/>
              </a:solidFill>
            </a:ln>
            <a:effectLst/>
          </c:spPr>
          <c:txPr>
            <a:bodyPr rot="0" spcFirstLastPara="1" vertOverflow="ellipsis" vert="horz" wrap="square" anchor="ctr" anchorCtr="1"/>
            <a:lstStyle/>
            <a:p>
              <a:pPr>
                <a:defRPr lang="en-US" sz="9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4A076F"/>
          </a:solidFill>
          <a:ln>
            <a:noFill/>
          </a:ln>
          <a:effectLst/>
        </c:spPr>
      </c:pivotFmt>
      <c:pivotFmt>
        <c:idx val="2"/>
        <c:spPr>
          <a:solidFill>
            <a:srgbClr val="770BB9"/>
          </a:solidFill>
          <a:ln>
            <a:noFill/>
          </a:ln>
          <a:effectLst/>
        </c:spPr>
      </c:pivotFmt>
      <c:pivotFmt>
        <c:idx val="3"/>
        <c:spPr>
          <a:solidFill>
            <a:srgbClr val="C360EA"/>
          </a:solidFill>
          <a:ln>
            <a:noFill/>
          </a:ln>
          <a:effectLst/>
        </c:spPr>
      </c:pivotFmt>
      <c:pivotFmt>
        <c:idx val="4"/>
        <c:spPr>
          <a:solidFill>
            <a:srgbClr val="E39CF6"/>
          </a:solidFill>
          <a:ln>
            <a:noFill/>
          </a:ln>
          <a:effectLst/>
        </c:spPr>
      </c:pivotFmt>
    </c:pivotFmts>
    <c:plotArea>
      <c:layout/>
      <c:barChart>
        <c:barDir val="bar"/>
        <c:grouping val="clustered"/>
        <c:varyColors val="1"/>
        <c:ser>
          <c:idx val="0"/>
          <c:order val="0"/>
          <c:tx>
            <c:strRef>
              <c:f>Dashboard!$G$12</c:f>
              <c:strCache>
                <c:ptCount val="1"/>
                <c:pt idx="0">
                  <c:v>Total</c:v>
                </c:pt>
              </c:strCache>
            </c:strRef>
          </c:tx>
          <c:invertIfNegative val="0"/>
          <c:dPt>
            <c:idx val="0"/>
            <c:invertIfNegative val="0"/>
            <c:bubble3D val="0"/>
            <c:spPr>
              <a:solidFill>
                <a:srgbClr val="4A076F"/>
              </a:solidFill>
              <a:ln>
                <a:noFill/>
              </a:ln>
              <a:effectLst/>
            </c:spPr>
            <c:extLst>
              <c:ext xmlns:c16="http://schemas.microsoft.com/office/drawing/2014/chart" uri="{C3380CC4-5D6E-409C-BE32-E72D297353CC}">
                <c16:uniqueId val="{00000001-E6EB-4B66-A4B5-A7DD59CB4116}"/>
              </c:ext>
            </c:extLst>
          </c:dPt>
          <c:dPt>
            <c:idx val="1"/>
            <c:invertIfNegative val="0"/>
            <c:bubble3D val="0"/>
            <c:spPr>
              <a:solidFill>
                <a:srgbClr val="770BB9"/>
              </a:solidFill>
              <a:ln>
                <a:noFill/>
              </a:ln>
              <a:effectLst/>
            </c:spPr>
            <c:extLst>
              <c:ext xmlns:c16="http://schemas.microsoft.com/office/drawing/2014/chart" uri="{C3380CC4-5D6E-409C-BE32-E72D297353CC}">
                <c16:uniqueId val="{00000003-E6EB-4B66-A4B5-A7DD59CB4116}"/>
              </c:ext>
            </c:extLst>
          </c:dPt>
          <c:dPt>
            <c:idx val="2"/>
            <c:invertIfNegative val="0"/>
            <c:bubble3D val="0"/>
            <c:spPr>
              <a:solidFill>
                <a:srgbClr val="C360EA"/>
              </a:solidFill>
              <a:ln>
                <a:noFill/>
              </a:ln>
              <a:effectLst/>
            </c:spPr>
            <c:extLst>
              <c:ext xmlns:c16="http://schemas.microsoft.com/office/drawing/2014/chart" uri="{C3380CC4-5D6E-409C-BE32-E72D297353CC}">
                <c16:uniqueId val="{00000005-E6EB-4B66-A4B5-A7DD59CB4116}"/>
              </c:ext>
            </c:extLst>
          </c:dPt>
          <c:dPt>
            <c:idx val="3"/>
            <c:invertIfNegative val="0"/>
            <c:bubble3D val="0"/>
            <c:spPr>
              <a:solidFill>
                <a:srgbClr val="E39CF6"/>
              </a:solidFill>
              <a:ln>
                <a:noFill/>
              </a:ln>
              <a:effectLst/>
            </c:spPr>
            <c:extLst>
              <c:ext xmlns:c16="http://schemas.microsoft.com/office/drawing/2014/chart" uri="{C3380CC4-5D6E-409C-BE32-E72D297353CC}">
                <c16:uniqueId val="{00000007-E6EB-4B66-A4B5-A7DD59CB4116}"/>
              </c:ext>
            </c:extLst>
          </c:dPt>
          <c:dLbls>
            <c:spPr>
              <a:solidFill>
                <a:srgbClr val="F4D8F1"/>
              </a:solidFill>
              <a:ln w="0">
                <a:solidFill>
                  <a:srgbClr val="002060"/>
                </a:solidFill>
              </a:ln>
              <a:effectLst/>
            </c:spPr>
            <c:txPr>
              <a:bodyPr rot="0" spcFirstLastPara="1" vertOverflow="ellipsis" vert="horz" wrap="square" anchor="ctr" anchorCtr="1"/>
              <a:lstStyle/>
              <a:p>
                <a:pPr>
                  <a:defRPr lang="en-US" sz="9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Dashboard!$F$13:$F$17</c:f>
              <c:strCache>
                <c:ptCount val="4"/>
                <c:pt idx="0">
                  <c:v>Raj</c:v>
                </c:pt>
                <c:pt idx="1">
                  <c:v>Priya</c:v>
                </c:pt>
                <c:pt idx="2">
                  <c:v>Neha</c:v>
                </c:pt>
                <c:pt idx="3">
                  <c:v>Amit</c:v>
                </c:pt>
              </c:strCache>
            </c:strRef>
          </c:cat>
          <c:val>
            <c:numRef>
              <c:f>Dashboard!$G$13:$G$17</c:f>
              <c:numCache>
                <c:formatCode>0.00</c:formatCode>
                <c:ptCount val="4"/>
                <c:pt idx="0">
                  <c:v>65.287499999999994</c:v>
                </c:pt>
                <c:pt idx="1">
                  <c:v>53.9375</c:v>
                </c:pt>
                <c:pt idx="2">
                  <c:v>40.9375</c:v>
                </c:pt>
                <c:pt idx="3">
                  <c:v>27.75</c:v>
                </c:pt>
              </c:numCache>
            </c:numRef>
          </c:val>
          <c:extLst>
            <c:ext xmlns:c16="http://schemas.microsoft.com/office/drawing/2014/chart" uri="{C3380CC4-5D6E-409C-BE32-E72D297353CC}">
              <c16:uniqueId val="{00000008-9300-4D79-B5C9-7CE42D1BAB5A}"/>
            </c:ext>
          </c:extLst>
        </c:ser>
        <c:dLbls>
          <c:dLblPos val="outEnd"/>
          <c:showLegendKey val="0"/>
          <c:showVal val="1"/>
          <c:showCatName val="0"/>
          <c:showSerName val="0"/>
          <c:showPercent val="0"/>
          <c:showBubbleSize val="0"/>
        </c:dLbls>
        <c:gapWidth val="182"/>
        <c:axId val="386906320"/>
        <c:axId val="386890000"/>
      </c:barChart>
      <c:catAx>
        <c:axId val="386906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dk1"/>
                </a:solidFill>
                <a:latin typeface="+mn-lt"/>
                <a:ea typeface="+mn-ea"/>
                <a:cs typeface="+mn-cs"/>
              </a:defRPr>
            </a:pPr>
            <a:endParaRPr lang="en-US"/>
          </a:p>
        </c:txPr>
        <c:crossAx val="386890000"/>
        <c:crosses val="autoZero"/>
        <c:auto val="1"/>
        <c:lblAlgn val="ctr"/>
        <c:lblOffset val="100"/>
        <c:noMultiLvlLbl val="0"/>
      </c:catAx>
      <c:valAx>
        <c:axId val="386890000"/>
        <c:scaling>
          <c:orientation val="minMax"/>
        </c:scaling>
        <c:delete val="1"/>
        <c:axPos val="b"/>
        <c:numFmt formatCode="0.00" sourceLinked="1"/>
        <c:majorTickMark val="none"/>
        <c:minorTickMark val="none"/>
        <c:tickLblPos val="nextTo"/>
        <c:crossAx val="386906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5D5"/>
    </a:solidFill>
    <a:ln w="9525" cap="flat" cmpd="sng" algn="ctr">
      <a:solidFill>
        <a:schemeClr val="tx1"/>
      </a:solidFill>
      <a:round/>
    </a:ln>
    <a:effectLst/>
  </c:spPr>
  <c:txPr>
    <a:bodyPr/>
    <a:lstStyle/>
    <a:p>
      <a:pP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2"/>
  </c:pivotSource>
  <c:chart>
    <c:title>
      <c:tx>
        <c:rich>
          <a:bodyPr rot="0" spcFirstLastPara="1" vertOverflow="ellipsis" vert="horz" wrap="square" anchor="ctr" anchorCtr="1"/>
          <a:lstStyle/>
          <a:p>
            <a:pPr>
              <a:defRPr sz="1400" b="1" i="0" u="none" strike="noStrike" kern="1200" cap="all" spc="120" normalizeH="0" baseline="0">
                <a:solidFill>
                  <a:sysClr val="windowText" lastClr="000000"/>
                </a:solidFill>
                <a:latin typeface="+mn-lt"/>
                <a:ea typeface="+mn-ea"/>
                <a:cs typeface="+mn-cs"/>
              </a:defRPr>
            </a:pPr>
            <a:r>
              <a:rPr lang="en-US" sz="1400">
                <a:solidFill>
                  <a:sysClr val="windowText" lastClr="000000"/>
                </a:solidFill>
              </a:rPr>
              <a:t>SALES BY REGION</a:t>
            </a:r>
          </a:p>
        </c:rich>
      </c:tx>
      <c:overlay val="0"/>
      <c:spPr>
        <a:noFill/>
        <a:ln>
          <a:noFill/>
        </a:ln>
        <a:effectLst/>
      </c:spPr>
      <c:txPr>
        <a:bodyPr rot="0" spcFirstLastPara="1" vertOverflow="ellipsis" vert="horz" wrap="square" anchor="ctr" anchorCtr="1"/>
        <a:lstStyle/>
        <a:p>
          <a:pPr>
            <a:defRPr sz="1400" b="1" i="0" u="none" strike="noStrike" kern="1200" cap="all" spc="120" normalizeH="0" baseline="0">
              <a:solidFill>
                <a:sysClr val="windowText" lastClr="000000"/>
              </a:solidFill>
              <a:latin typeface="+mn-lt"/>
              <a:ea typeface="+mn-ea"/>
              <a:cs typeface="+mn-cs"/>
            </a:defRPr>
          </a:pPr>
          <a:endParaRPr lang="en-US"/>
        </a:p>
      </c:txPr>
    </c:title>
    <c:autoTitleDeleted val="0"/>
    <c:pivotFmts>
      <c:pivotFmt>
        <c:idx val="0"/>
        <c:spPr>
          <a:solidFill>
            <a:srgbClr val="C00000"/>
          </a:solidFill>
          <a:ln>
            <a:noFill/>
          </a:ln>
          <a:effectLst/>
        </c:spPr>
        <c:marker>
          <c:symbol val="none"/>
        </c:marker>
        <c:dLbl>
          <c:idx val="0"/>
          <c:spPr>
            <a:solidFill>
              <a:srgbClr val="00206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15A43"/>
          </a:solidFill>
          <a:ln>
            <a:noFill/>
          </a:ln>
          <a:effectLst/>
        </c:spPr>
      </c:pivotFmt>
      <c:pivotFmt>
        <c:idx val="2"/>
        <c:spPr>
          <a:solidFill>
            <a:srgbClr val="F08320"/>
          </a:solidFill>
          <a:ln>
            <a:noFill/>
          </a:ln>
          <a:effectLst/>
        </c:spPr>
      </c:pivotFmt>
      <c:pivotFmt>
        <c:idx val="3"/>
        <c:spPr>
          <a:solidFill>
            <a:srgbClr val="EDB145"/>
          </a:solidFill>
          <a:ln>
            <a:noFill/>
          </a:ln>
          <a:effectLst/>
        </c:spPr>
      </c:pivotFmt>
      <c:pivotFmt>
        <c:idx val="4"/>
        <c:spPr>
          <a:solidFill>
            <a:srgbClr val="C00000"/>
          </a:solidFill>
          <a:ln>
            <a:noFill/>
          </a:ln>
          <a:effectLst/>
        </c:spPr>
      </c:pivotFmt>
    </c:pivotFmts>
    <c:plotArea>
      <c:layout/>
      <c:barChart>
        <c:barDir val="col"/>
        <c:grouping val="stacked"/>
        <c:varyColors val="1"/>
        <c:ser>
          <c:idx val="0"/>
          <c:order val="0"/>
          <c:tx>
            <c:strRef>
              <c:f>Dashboard!$M$12</c:f>
              <c:strCache>
                <c:ptCount val="1"/>
                <c:pt idx="0">
                  <c:v>Total</c:v>
                </c:pt>
              </c:strCache>
            </c:strRef>
          </c:tx>
          <c:spPr>
            <a:solidFill>
              <a:srgbClr val="C00000"/>
            </a:solidFill>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1-756A-4AED-97AE-5ADBFAD92B9A}"/>
              </c:ext>
            </c:extLst>
          </c:dPt>
          <c:dPt>
            <c:idx val="1"/>
            <c:invertIfNegative val="0"/>
            <c:bubble3D val="0"/>
            <c:spPr>
              <a:solidFill>
                <a:srgbClr val="E15A43"/>
              </a:solidFill>
              <a:ln>
                <a:noFill/>
              </a:ln>
              <a:effectLst/>
            </c:spPr>
            <c:extLst>
              <c:ext xmlns:c16="http://schemas.microsoft.com/office/drawing/2014/chart" uri="{C3380CC4-5D6E-409C-BE32-E72D297353CC}">
                <c16:uniqueId val="{00000003-756A-4AED-97AE-5ADBFAD92B9A}"/>
              </c:ext>
            </c:extLst>
          </c:dPt>
          <c:dPt>
            <c:idx val="2"/>
            <c:invertIfNegative val="0"/>
            <c:bubble3D val="0"/>
            <c:spPr>
              <a:solidFill>
                <a:srgbClr val="F08320"/>
              </a:solidFill>
              <a:ln>
                <a:noFill/>
              </a:ln>
              <a:effectLst/>
            </c:spPr>
            <c:extLst>
              <c:ext xmlns:c16="http://schemas.microsoft.com/office/drawing/2014/chart" uri="{C3380CC4-5D6E-409C-BE32-E72D297353CC}">
                <c16:uniqueId val="{00000005-756A-4AED-97AE-5ADBFAD92B9A}"/>
              </c:ext>
            </c:extLst>
          </c:dPt>
          <c:dPt>
            <c:idx val="3"/>
            <c:invertIfNegative val="0"/>
            <c:bubble3D val="0"/>
            <c:spPr>
              <a:solidFill>
                <a:srgbClr val="EDB145"/>
              </a:solidFill>
              <a:ln>
                <a:noFill/>
              </a:ln>
              <a:effectLst/>
            </c:spPr>
            <c:extLst>
              <c:ext xmlns:c16="http://schemas.microsoft.com/office/drawing/2014/chart" uri="{C3380CC4-5D6E-409C-BE32-E72D297353CC}">
                <c16:uniqueId val="{00000007-756A-4AED-97AE-5ADBFAD92B9A}"/>
              </c:ext>
            </c:extLst>
          </c:dPt>
          <c:dLbls>
            <c:spPr>
              <a:solidFill>
                <a:srgbClr val="00206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Dashboard!$L$13:$L$17</c:f>
              <c:strCache>
                <c:ptCount val="4"/>
                <c:pt idx="0">
                  <c:v>East</c:v>
                </c:pt>
                <c:pt idx="1">
                  <c:v>South</c:v>
                </c:pt>
                <c:pt idx="2">
                  <c:v>West</c:v>
                </c:pt>
                <c:pt idx="3">
                  <c:v>North</c:v>
                </c:pt>
              </c:strCache>
            </c:strRef>
          </c:cat>
          <c:val>
            <c:numRef>
              <c:f>Dashboard!$M$13:$M$17</c:f>
              <c:numCache>
                <c:formatCode>General</c:formatCode>
                <c:ptCount val="4"/>
                <c:pt idx="0">
                  <c:v>21260</c:v>
                </c:pt>
                <c:pt idx="1">
                  <c:v>19505</c:v>
                </c:pt>
                <c:pt idx="2">
                  <c:v>18015</c:v>
                </c:pt>
                <c:pt idx="3">
                  <c:v>16385</c:v>
                </c:pt>
              </c:numCache>
            </c:numRef>
          </c:val>
          <c:extLst>
            <c:ext xmlns:c16="http://schemas.microsoft.com/office/drawing/2014/chart" uri="{C3380CC4-5D6E-409C-BE32-E72D297353CC}">
              <c16:uniqueId val="{00000008-734A-4B95-9CDC-B61700635E1A}"/>
            </c:ext>
          </c:extLst>
        </c:ser>
        <c:dLbls>
          <c:dLblPos val="ctr"/>
          <c:showLegendKey val="0"/>
          <c:showVal val="1"/>
          <c:showCatName val="0"/>
          <c:showSerName val="0"/>
          <c:showPercent val="0"/>
          <c:showBubbleSize val="0"/>
        </c:dLbls>
        <c:gapWidth val="79"/>
        <c:overlap val="100"/>
        <c:axId val="386919280"/>
        <c:axId val="386921680"/>
      </c:barChart>
      <c:catAx>
        <c:axId val="38691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cap="all" spc="120" normalizeH="0" baseline="0">
                <a:solidFill>
                  <a:sysClr val="windowText" lastClr="000000"/>
                </a:solidFill>
                <a:latin typeface="+mn-lt"/>
                <a:ea typeface="+mn-ea"/>
                <a:cs typeface="+mn-cs"/>
              </a:defRPr>
            </a:pPr>
            <a:endParaRPr lang="en-US"/>
          </a:p>
        </c:txPr>
        <c:crossAx val="386921680"/>
        <c:crosses val="autoZero"/>
        <c:auto val="1"/>
        <c:lblAlgn val="ctr"/>
        <c:lblOffset val="100"/>
        <c:noMultiLvlLbl val="0"/>
      </c:catAx>
      <c:valAx>
        <c:axId val="386921680"/>
        <c:scaling>
          <c:orientation val="minMax"/>
        </c:scaling>
        <c:delete val="1"/>
        <c:axPos val="l"/>
        <c:numFmt formatCode="General" sourceLinked="1"/>
        <c:majorTickMark val="none"/>
        <c:minorTickMark val="none"/>
        <c:tickLblPos val="nextTo"/>
        <c:crossAx val="38691928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5D5"/>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Project.xlsm]Dashboard!PivotTable6</c:name>
    <c:fmtId val="0"/>
  </c:pivotSource>
  <c:chart>
    <c:title>
      <c:tx>
        <c:rich>
          <a:bodyPr rot="0" spcFirstLastPara="1" vertOverflow="ellipsis" vert="horz" wrap="square" anchor="ctr" anchorCtr="1"/>
          <a:lstStyle/>
          <a:p>
            <a:pPr>
              <a:defRPr lang="en-US" sz="1400" b="1" i="0" u="none" strike="noStrike" kern="1200" spc="0" baseline="0">
                <a:solidFill>
                  <a:sysClr val="windowText" lastClr="000000"/>
                </a:solidFill>
                <a:latin typeface="+mn-lt"/>
                <a:ea typeface="+mn-ea"/>
                <a:cs typeface="+mn-cs"/>
              </a:defRPr>
            </a:pPr>
            <a:r>
              <a:rPr lang="en-IN" sz="1400"/>
              <a:t>SALES BY CATEGORY AND REGION</a:t>
            </a:r>
          </a:p>
        </c:rich>
      </c:tx>
      <c:overlay val="0"/>
      <c:spPr>
        <a:noFill/>
        <a:ln>
          <a:noFill/>
        </a:ln>
        <a:effectLst/>
      </c:spPr>
      <c:txPr>
        <a:bodyPr rot="0" spcFirstLastPara="1" vertOverflow="ellipsis" vert="horz" wrap="square" anchor="ctr" anchorCtr="1"/>
        <a:lstStyle/>
        <a:p>
          <a:pPr>
            <a:defRPr lang="en-US"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rgbClr val="E0167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80" b="1" i="0" u="none" strike="noStrike" kern="1200" spc="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46EA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80" b="1" i="0" u="none" strike="noStrike" kern="1200" spc="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A3095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80" b="1" i="0" u="none" strike="noStrike" kern="1200" spc="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682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80" b="1" i="0" u="none" strike="noStrike" kern="1200" spc="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80" b="1" i="0" u="none" strike="noStrike" kern="1200" spc="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Dashboard!$G$20:$G$21</c:f>
              <c:strCache>
                <c:ptCount val="1"/>
                <c:pt idx="0">
                  <c:v>East</c:v>
                </c:pt>
              </c:strCache>
            </c:strRef>
          </c:tx>
          <c:spPr>
            <a:solidFill>
              <a:srgbClr val="E0167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80" b="1" i="0" u="none" strike="noStrike" kern="1200" spc="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Dashboard!$F$22:$F$25</c:f>
              <c:strCache>
                <c:ptCount val="3"/>
                <c:pt idx="0">
                  <c:v>Snacks</c:v>
                </c:pt>
                <c:pt idx="1">
                  <c:v>Dairy</c:v>
                </c:pt>
                <c:pt idx="2">
                  <c:v>Beverages</c:v>
                </c:pt>
              </c:strCache>
            </c:strRef>
          </c:cat>
          <c:val>
            <c:numRef>
              <c:f>Dashboard!$G$22:$G$25</c:f>
              <c:numCache>
                <c:formatCode>General</c:formatCode>
                <c:ptCount val="3"/>
                <c:pt idx="0">
                  <c:v>7645</c:v>
                </c:pt>
                <c:pt idx="1">
                  <c:v>7475</c:v>
                </c:pt>
                <c:pt idx="2">
                  <c:v>6140</c:v>
                </c:pt>
              </c:numCache>
            </c:numRef>
          </c:val>
          <c:extLst>
            <c:ext xmlns:c16="http://schemas.microsoft.com/office/drawing/2014/chart" uri="{C3380CC4-5D6E-409C-BE32-E72D297353CC}">
              <c16:uniqueId val="{00000005-0B47-45AF-9D57-0A9B9F59FFB5}"/>
            </c:ext>
          </c:extLst>
        </c:ser>
        <c:ser>
          <c:idx val="1"/>
          <c:order val="1"/>
          <c:tx>
            <c:strRef>
              <c:f>Dashboard!$H$20:$H$21</c:f>
              <c:strCache>
                <c:ptCount val="1"/>
                <c:pt idx="0">
                  <c:v>North</c:v>
                </c:pt>
              </c:strCache>
            </c:strRef>
          </c:tx>
          <c:spPr>
            <a:solidFill>
              <a:srgbClr val="E46EA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80" b="1" i="0" u="none" strike="noStrike" kern="1200" spc="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Dashboard!$F$22:$F$25</c:f>
              <c:strCache>
                <c:ptCount val="3"/>
                <c:pt idx="0">
                  <c:v>Snacks</c:v>
                </c:pt>
                <c:pt idx="1">
                  <c:v>Dairy</c:v>
                </c:pt>
                <c:pt idx="2">
                  <c:v>Beverages</c:v>
                </c:pt>
              </c:strCache>
            </c:strRef>
          </c:cat>
          <c:val>
            <c:numRef>
              <c:f>Dashboard!$H$22:$H$25</c:f>
              <c:numCache>
                <c:formatCode>General</c:formatCode>
                <c:ptCount val="3"/>
                <c:pt idx="0">
                  <c:v>4655</c:v>
                </c:pt>
                <c:pt idx="1">
                  <c:v>7640</c:v>
                </c:pt>
                <c:pt idx="2">
                  <c:v>4090</c:v>
                </c:pt>
              </c:numCache>
            </c:numRef>
          </c:val>
          <c:extLst>
            <c:ext xmlns:c16="http://schemas.microsoft.com/office/drawing/2014/chart" uri="{C3380CC4-5D6E-409C-BE32-E72D297353CC}">
              <c16:uniqueId val="{00000007-8119-4338-84CA-701B33C17C90}"/>
            </c:ext>
          </c:extLst>
        </c:ser>
        <c:ser>
          <c:idx val="2"/>
          <c:order val="2"/>
          <c:tx>
            <c:strRef>
              <c:f>Dashboard!$I$20:$I$21</c:f>
              <c:strCache>
                <c:ptCount val="1"/>
                <c:pt idx="0">
                  <c:v>South</c:v>
                </c:pt>
              </c:strCache>
            </c:strRef>
          </c:tx>
          <c:spPr>
            <a:solidFill>
              <a:srgbClr val="A3095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80" b="1" i="0" u="none" strike="noStrike" kern="1200" spc="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Dashboard!$F$22:$F$25</c:f>
              <c:strCache>
                <c:ptCount val="3"/>
                <c:pt idx="0">
                  <c:v>Snacks</c:v>
                </c:pt>
                <c:pt idx="1">
                  <c:v>Dairy</c:v>
                </c:pt>
                <c:pt idx="2">
                  <c:v>Beverages</c:v>
                </c:pt>
              </c:strCache>
            </c:strRef>
          </c:cat>
          <c:val>
            <c:numRef>
              <c:f>Dashboard!$I$22:$I$25</c:f>
              <c:numCache>
                <c:formatCode>General</c:formatCode>
                <c:ptCount val="3"/>
                <c:pt idx="0">
                  <c:v>6475</c:v>
                </c:pt>
                <c:pt idx="1">
                  <c:v>5290</c:v>
                </c:pt>
                <c:pt idx="2">
                  <c:v>7740</c:v>
                </c:pt>
              </c:numCache>
            </c:numRef>
          </c:val>
          <c:extLst>
            <c:ext xmlns:c16="http://schemas.microsoft.com/office/drawing/2014/chart" uri="{C3380CC4-5D6E-409C-BE32-E72D297353CC}">
              <c16:uniqueId val="{00000008-8119-4338-84CA-701B33C17C90}"/>
            </c:ext>
          </c:extLst>
        </c:ser>
        <c:ser>
          <c:idx val="3"/>
          <c:order val="3"/>
          <c:tx>
            <c:strRef>
              <c:f>Dashboard!$J$20:$J$21</c:f>
              <c:strCache>
                <c:ptCount val="1"/>
                <c:pt idx="0">
                  <c:v>West</c:v>
                </c:pt>
              </c:strCache>
            </c:strRef>
          </c:tx>
          <c:spPr>
            <a:solidFill>
              <a:srgbClr val="E682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80" b="1" i="0" u="none" strike="noStrike" kern="1200" spc="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Dashboard!$F$22:$F$25</c:f>
              <c:strCache>
                <c:ptCount val="3"/>
                <c:pt idx="0">
                  <c:v>Snacks</c:v>
                </c:pt>
                <c:pt idx="1">
                  <c:v>Dairy</c:v>
                </c:pt>
                <c:pt idx="2">
                  <c:v>Beverages</c:v>
                </c:pt>
              </c:strCache>
            </c:strRef>
          </c:cat>
          <c:val>
            <c:numRef>
              <c:f>Dashboard!$J$22:$J$25</c:f>
              <c:numCache>
                <c:formatCode>General</c:formatCode>
                <c:ptCount val="3"/>
                <c:pt idx="0">
                  <c:v>3875</c:v>
                </c:pt>
                <c:pt idx="1">
                  <c:v>10060</c:v>
                </c:pt>
                <c:pt idx="2">
                  <c:v>4080</c:v>
                </c:pt>
              </c:numCache>
            </c:numRef>
          </c:val>
          <c:extLst>
            <c:ext xmlns:c16="http://schemas.microsoft.com/office/drawing/2014/chart" uri="{C3380CC4-5D6E-409C-BE32-E72D297353CC}">
              <c16:uniqueId val="{00000009-8119-4338-84CA-701B33C17C90}"/>
            </c:ext>
          </c:extLst>
        </c:ser>
        <c:dLbls>
          <c:dLblPos val="ctr"/>
          <c:showLegendKey val="0"/>
          <c:showVal val="1"/>
          <c:showCatName val="0"/>
          <c:showSerName val="0"/>
          <c:showPercent val="0"/>
          <c:showBubbleSize val="0"/>
        </c:dLbls>
        <c:gapWidth val="150"/>
        <c:overlap val="100"/>
        <c:axId val="386897680"/>
        <c:axId val="386899120"/>
      </c:barChart>
      <c:catAx>
        <c:axId val="386897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80" b="1" i="0" u="none" strike="noStrike" kern="1200" spc="0" baseline="0">
                <a:solidFill>
                  <a:sysClr val="windowText" lastClr="000000"/>
                </a:solidFill>
                <a:latin typeface="+mn-lt"/>
                <a:ea typeface="+mn-ea"/>
                <a:cs typeface="+mn-cs"/>
              </a:defRPr>
            </a:pPr>
            <a:endParaRPr lang="en-US"/>
          </a:p>
        </c:txPr>
        <c:crossAx val="386899120"/>
        <c:crosses val="autoZero"/>
        <c:auto val="1"/>
        <c:lblAlgn val="ctr"/>
        <c:lblOffset val="100"/>
        <c:noMultiLvlLbl val="0"/>
      </c:catAx>
      <c:valAx>
        <c:axId val="3868991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80" b="1" i="0" u="none" strike="noStrike" kern="1200" spc="0" baseline="0">
                <a:solidFill>
                  <a:sysClr val="windowText" lastClr="000000"/>
                </a:solidFill>
                <a:latin typeface="+mn-lt"/>
                <a:ea typeface="+mn-ea"/>
                <a:cs typeface="+mn-cs"/>
              </a:defRPr>
            </a:pPr>
            <a:endParaRPr lang="en-US"/>
          </a:p>
        </c:txPr>
        <c:crossAx val="386897680"/>
        <c:crosses val="autoZero"/>
        <c:crossBetween val="between"/>
      </c:valAx>
      <c:spPr>
        <a:noFill/>
        <a:ln>
          <a:noFill/>
        </a:ln>
        <a:effectLst/>
      </c:spPr>
    </c:plotArea>
    <c:legend>
      <c:legendPos val="t"/>
      <c:overlay val="0"/>
      <c:spPr>
        <a:solidFill>
          <a:srgbClr val="FAD6E6"/>
        </a:solidFill>
        <a:ln>
          <a:noFill/>
        </a:ln>
        <a:effectLst/>
      </c:spPr>
      <c:txPr>
        <a:bodyPr rot="0" spcFirstLastPara="1" vertOverflow="ellipsis" vert="horz" wrap="square" anchor="ctr" anchorCtr="1"/>
        <a:lstStyle/>
        <a:p>
          <a:pPr>
            <a:defRPr lang="en-US" sz="1000" b="1" i="0" u="none" strike="noStrike" kern="1200" spc="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5D5"/>
    </a:solidFill>
    <a:ln w="9525" cap="flat" cmpd="sng" algn="ctr">
      <a:solidFill>
        <a:schemeClr val="tx1"/>
      </a:solidFill>
      <a:round/>
    </a:ln>
    <a:effectLst/>
  </c:spPr>
  <c:txPr>
    <a:bodyPr/>
    <a:lstStyle/>
    <a:p>
      <a:pPr algn="ctr">
        <a:defRPr lang="en-US" sz="1080" b="1" i="0" u="none" strike="noStrike" kern="1200" spc="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Project.xlsm]Dashboard!PivotTable7</c:name>
    <c:fmtId val="0"/>
  </c:pivotSource>
  <c:chart>
    <c:title>
      <c:tx>
        <c:rich>
          <a:bodyPr rot="0" spcFirstLastPara="1" vertOverflow="ellipsis" vert="horz" wrap="square" anchor="ctr" anchorCtr="1"/>
          <a:lstStyle/>
          <a:p>
            <a:pPr>
              <a:defRPr lang="en-US" sz="1400" b="1" i="0" u="none" strike="noStrike" kern="1200" spc="0" baseline="0">
                <a:solidFill>
                  <a:sysClr val="windowText" lastClr="000000"/>
                </a:solidFill>
                <a:latin typeface="+mn-lt"/>
                <a:ea typeface="+mn-ea"/>
                <a:cs typeface="+mn-cs"/>
              </a:defRPr>
            </a:pPr>
            <a:r>
              <a:rPr lang="en-US" sz="1400"/>
              <a:t>SALES</a:t>
            </a:r>
            <a:r>
              <a:rPr lang="en-US" sz="1400" baseline="0"/>
              <a:t> BY PRODUCT</a:t>
            </a:r>
            <a:endParaRPr lang="en-US" sz="1400"/>
          </a:p>
        </c:rich>
      </c:tx>
      <c:overlay val="0"/>
      <c:spPr>
        <a:noFill/>
        <a:ln>
          <a:noFill/>
        </a:ln>
        <a:effectLst/>
      </c:spPr>
      <c:txPr>
        <a:bodyPr rot="0" spcFirstLastPara="1" vertOverflow="ellipsis" vert="horz" wrap="square" anchor="ctr" anchorCtr="1"/>
        <a:lstStyle/>
        <a:p>
          <a:pPr>
            <a:defRPr lang="en-US"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6">
                <a:lumMod val="20000"/>
                <a:lumOff val="80000"/>
              </a:schemeClr>
            </a:solidFill>
            <a:ln w="0">
              <a:solidFill>
                <a:srgbClr val="002060"/>
              </a:solidFill>
            </a:ln>
            <a:effectLst/>
          </c:spPr>
          <c:txPr>
            <a:bodyPr rot="0" spcFirstLastPara="1" vertOverflow="ellipsis" vert="horz" wrap="square" anchor="ctr" anchorCtr="1"/>
            <a:lstStyle/>
            <a:p>
              <a:pPr>
                <a:defRPr lang="en-US" sz="1080" b="1" i="0" u="none" strike="noStrike" kern="1200" spc="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F3D16"/>
          </a:solidFill>
          <a:ln>
            <a:noFill/>
          </a:ln>
          <a:effectLst/>
        </c:spPr>
      </c:pivotFmt>
      <c:pivotFmt>
        <c:idx val="2"/>
        <c:spPr>
          <a:solidFill>
            <a:srgbClr val="628115"/>
          </a:solidFill>
          <a:ln>
            <a:noFill/>
          </a:ln>
          <a:effectLst/>
        </c:spPr>
      </c:pivotFmt>
      <c:pivotFmt>
        <c:idx val="3"/>
        <c:spPr>
          <a:solidFill>
            <a:schemeClr val="accent3">
              <a:lumMod val="40000"/>
              <a:lumOff val="60000"/>
            </a:schemeClr>
          </a:solidFill>
          <a:ln>
            <a:noFill/>
          </a:ln>
          <a:effectLst/>
        </c:spPr>
      </c:pivotFmt>
      <c:pivotFmt>
        <c:idx val="4"/>
        <c:spPr>
          <a:solidFill>
            <a:srgbClr val="00B050"/>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s>
    <c:plotArea>
      <c:layout/>
      <c:barChart>
        <c:barDir val="col"/>
        <c:grouping val="clustered"/>
        <c:varyColors val="1"/>
        <c:ser>
          <c:idx val="0"/>
          <c:order val="0"/>
          <c:tx>
            <c:strRef>
              <c:f>Dashboard!$D$19</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F8C1-4193-9B3E-84EEC165FBC0}"/>
              </c:ext>
            </c:extLst>
          </c:dPt>
          <c:dPt>
            <c:idx val="1"/>
            <c:invertIfNegative val="0"/>
            <c:bubble3D val="0"/>
            <c:spPr>
              <a:solidFill>
                <a:srgbClr val="0F3D16"/>
              </a:solidFill>
              <a:ln>
                <a:noFill/>
              </a:ln>
              <a:effectLst/>
            </c:spPr>
            <c:extLst>
              <c:ext xmlns:c16="http://schemas.microsoft.com/office/drawing/2014/chart" uri="{C3380CC4-5D6E-409C-BE32-E72D297353CC}">
                <c16:uniqueId val="{00000003-F8C1-4193-9B3E-84EEC165FBC0}"/>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F8C1-4193-9B3E-84EEC165FBC0}"/>
              </c:ext>
            </c:extLst>
          </c:dPt>
          <c:dPt>
            <c:idx val="3"/>
            <c:invertIfNegative val="0"/>
            <c:bubble3D val="0"/>
            <c:spPr>
              <a:solidFill>
                <a:srgbClr val="628115"/>
              </a:solidFill>
              <a:ln>
                <a:noFill/>
              </a:ln>
              <a:effectLst/>
            </c:spPr>
            <c:extLst>
              <c:ext xmlns:c16="http://schemas.microsoft.com/office/drawing/2014/chart" uri="{C3380CC4-5D6E-409C-BE32-E72D297353CC}">
                <c16:uniqueId val="{00000007-F8C1-4193-9B3E-84EEC165FBC0}"/>
              </c:ext>
            </c:extLst>
          </c:dPt>
          <c:dPt>
            <c:idx val="4"/>
            <c:invertIfNegative val="0"/>
            <c:bubble3D val="0"/>
            <c:spPr>
              <a:solidFill>
                <a:srgbClr val="00B050"/>
              </a:solidFill>
              <a:ln>
                <a:noFill/>
              </a:ln>
              <a:effectLst/>
            </c:spPr>
            <c:extLst>
              <c:ext xmlns:c16="http://schemas.microsoft.com/office/drawing/2014/chart" uri="{C3380CC4-5D6E-409C-BE32-E72D297353CC}">
                <c16:uniqueId val="{00000009-F8C1-4193-9B3E-84EEC165FBC0}"/>
              </c:ext>
            </c:extLst>
          </c:dPt>
          <c:dPt>
            <c:idx val="5"/>
            <c:invertIfNegative val="0"/>
            <c:bubble3D val="0"/>
            <c:spPr>
              <a:solidFill>
                <a:schemeClr val="accent3">
                  <a:lumMod val="40000"/>
                  <a:lumOff val="60000"/>
                </a:schemeClr>
              </a:solidFill>
              <a:ln>
                <a:noFill/>
              </a:ln>
              <a:effectLst/>
            </c:spPr>
            <c:extLst>
              <c:ext xmlns:c16="http://schemas.microsoft.com/office/drawing/2014/chart" uri="{C3380CC4-5D6E-409C-BE32-E72D297353CC}">
                <c16:uniqueId val="{0000000B-F8C1-4193-9B3E-84EEC165FBC0}"/>
              </c:ext>
            </c:extLst>
          </c:dPt>
          <c:dLbls>
            <c:spPr>
              <a:solidFill>
                <a:schemeClr val="accent6">
                  <a:lumMod val="20000"/>
                  <a:lumOff val="80000"/>
                </a:schemeClr>
              </a:solidFill>
              <a:ln w="0">
                <a:solidFill>
                  <a:srgbClr val="002060"/>
                </a:solidFill>
              </a:ln>
              <a:effectLst/>
            </c:spPr>
            <c:txPr>
              <a:bodyPr rot="0" spcFirstLastPara="1" vertOverflow="ellipsis" vert="horz" wrap="square" anchor="ctr" anchorCtr="1"/>
              <a:lstStyle/>
              <a:p>
                <a:pPr>
                  <a:defRPr lang="en-US" sz="1080" b="1" i="0" u="none" strike="noStrike" kern="1200" spc="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Dashboard!$C$20:$C$26</c:f>
              <c:strCache>
                <c:ptCount val="6"/>
                <c:pt idx="0">
                  <c:v>Chips</c:v>
                </c:pt>
                <c:pt idx="1">
                  <c:v>Biscuits</c:v>
                </c:pt>
                <c:pt idx="2">
                  <c:v>Soda</c:v>
                </c:pt>
                <c:pt idx="3">
                  <c:v>Cheese</c:v>
                </c:pt>
                <c:pt idx="4">
                  <c:v>Milk</c:v>
                </c:pt>
                <c:pt idx="5">
                  <c:v>Juice</c:v>
                </c:pt>
              </c:strCache>
            </c:strRef>
          </c:cat>
          <c:val>
            <c:numRef>
              <c:f>Dashboard!$D$20:$D$26</c:f>
              <c:numCache>
                <c:formatCode>General</c:formatCode>
                <c:ptCount val="6"/>
                <c:pt idx="0">
                  <c:v>15360</c:v>
                </c:pt>
                <c:pt idx="1">
                  <c:v>13410</c:v>
                </c:pt>
                <c:pt idx="2">
                  <c:v>13070</c:v>
                </c:pt>
                <c:pt idx="3">
                  <c:v>11560</c:v>
                </c:pt>
                <c:pt idx="4">
                  <c:v>10950</c:v>
                </c:pt>
                <c:pt idx="5">
                  <c:v>10815</c:v>
                </c:pt>
              </c:numCache>
            </c:numRef>
          </c:val>
          <c:extLst>
            <c:ext xmlns:c16="http://schemas.microsoft.com/office/drawing/2014/chart" uri="{C3380CC4-5D6E-409C-BE32-E72D297353CC}">
              <c16:uniqueId val="{0000000C-7FC0-4FBC-97A2-B8AC6C1EF673}"/>
            </c:ext>
          </c:extLst>
        </c:ser>
        <c:dLbls>
          <c:dLblPos val="outEnd"/>
          <c:showLegendKey val="0"/>
          <c:showVal val="1"/>
          <c:showCatName val="0"/>
          <c:showSerName val="0"/>
          <c:showPercent val="0"/>
          <c:showBubbleSize val="0"/>
        </c:dLbls>
        <c:gapWidth val="219"/>
        <c:overlap val="-27"/>
        <c:axId val="694357072"/>
        <c:axId val="694356112"/>
      </c:barChart>
      <c:catAx>
        <c:axId val="694357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80" b="1" i="0" u="none" strike="noStrike" kern="1200" spc="0" baseline="0">
                <a:solidFill>
                  <a:sysClr val="windowText" lastClr="000000"/>
                </a:solidFill>
                <a:latin typeface="+mn-lt"/>
                <a:ea typeface="+mn-ea"/>
                <a:cs typeface="+mn-cs"/>
              </a:defRPr>
            </a:pPr>
            <a:endParaRPr lang="en-US"/>
          </a:p>
        </c:txPr>
        <c:crossAx val="694356112"/>
        <c:crosses val="autoZero"/>
        <c:auto val="1"/>
        <c:lblAlgn val="ctr"/>
        <c:lblOffset val="100"/>
        <c:noMultiLvlLbl val="0"/>
      </c:catAx>
      <c:valAx>
        <c:axId val="694356112"/>
        <c:scaling>
          <c:orientation val="minMax"/>
        </c:scaling>
        <c:delete val="1"/>
        <c:axPos val="l"/>
        <c:numFmt formatCode="General" sourceLinked="1"/>
        <c:majorTickMark val="none"/>
        <c:minorTickMark val="none"/>
        <c:tickLblPos val="nextTo"/>
        <c:crossAx val="6943570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5D5"/>
    </a:solidFill>
    <a:ln w="9525" cap="flat" cmpd="sng" algn="ctr">
      <a:solidFill>
        <a:schemeClr val="tx1"/>
      </a:solidFill>
      <a:round/>
    </a:ln>
    <a:effectLst/>
  </c:spPr>
  <c:txPr>
    <a:bodyPr/>
    <a:lstStyle/>
    <a:p>
      <a:pPr algn="ctr" rtl="0">
        <a:defRPr lang="en-US" sz="1080" b="1" i="0" u="none" strike="noStrike" kern="1200" spc="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Project.xlsm]Dashboard!PivotTable2</c:name>
    <c:fmtId val="0"/>
  </c:pivotSource>
  <c:chart>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a:solidFill>
                  <a:sysClr val="windowText" lastClr="000000"/>
                </a:solidFill>
              </a:rPr>
              <a:t>SALES BY SALESPERSON</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autoTitleDeleted val="0"/>
    <c:pivotFmts>
      <c:pivotFmt>
        <c:idx val="0"/>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lumMod val="40000"/>
              <a:lumOff val="60000"/>
            </a:schemeClr>
          </a:solidFill>
          <a:ln>
            <a:noFill/>
          </a:ln>
          <a:effectLst>
            <a:outerShdw blurRad="254000" sx="102000" sy="102000" algn="ctr" rotWithShape="0">
              <a:prstClr val="black">
                <a:alpha val="20000"/>
              </a:prstClr>
            </a:outerShdw>
          </a:effectLst>
        </c:spPr>
      </c:pivotFmt>
      <c:pivotFmt>
        <c:idx val="2"/>
        <c:spPr>
          <a:solidFill>
            <a:schemeClr val="accent1">
              <a:lumMod val="20000"/>
              <a:lumOff val="80000"/>
            </a:schemeClr>
          </a:solidFill>
          <a:ln>
            <a:noFill/>
          </a:ln>
          <a:effectLst>
            <a:outerShdw blurRad="254000" sx="102000" sy="102000" algn="ctr" rotWithShape="0">
              <a:prstClr val="black">
                <a:alpha val="20000"/>
              </a:prstClr>
            </a:outerShdw>
          </a:effectLst>
        </c:spPr>
      </c:pivotFmt>
      <c:pivotFmt>
        <c:idx val="3"/>
        <c:spPr>
          <a:solidFill>
            <a:srgbClr val="0070C0"/>
          </a:solidFill>
          <a:ln>
            <a:noFill/>
          </a:ln>
          <a:effectLst>
            <a:outerShdw blurRad="254000" sx="102000" sy="102000" algn="ctr" rotWithShape="0">
              <a:prstClr val="black">
                <a:alpha val="20000"/>
              </a:prstClr>
            </a:outerShdw>
          </a:effectLst>
        </c:spPr>
      </c:pivotFmt>
      <c:pivotFmt>
        <c:idx val="4"/>
        <c:spPr>
          <a:solidFill>
            <a:srgbClr val="002060"/>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Dashboard!$D$12</c:f>
              <c:strCache>
                <c:ptCount val="1"/>
                <c:pt idx="0">
                  <c:v>Total</c:v>
                </c:pt>
              </c:strCache>
            </c:strRef>
          </c:tx>
          <c:dPt>
            <c:idx val="0"/>
            <c:bubble3D val="0"/>
            <c:spPr>
              <a:solidFill>
                <a:srgbClr val="00206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C12-4DA7-BD26-E25F2C14BDBD}"/>
              </c:ext>
            </c:extLst>
          </c:dPt>
          <c:dPt>
            <c:idx val="1"/>
            <c:bubble3D val="0"/>
            <c:spPr>
              <a:solidFill>
                <a:srgbClr val="0070C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C12-4DA7-BD26-E25F2C14BDBD}"/>
              </c:ext>
            </c:extLst>
          </c:dPt>
          <c:dPt>
            <c:idx val="2"/>
            <c:bubble3D val="0"/>
            <c:spPr>
              <a:solidFill>
                <a:schemeClr val="accent1">
                  <a:lumMod val="40000"/>
                  <a:lumOff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C12-4DA7-BD26-E25F2C14BDBD}"/>
              </c:ext>
            </c:extLst>
          </c:dPt>
          <c:dPt>
            <c:idx val="3"/>
            <c:bubble3D val="0"/>
            <c:spPr>
              <a:solidFill>
                <a:schemeClr val="accent1">
                  <a:lumMod val="20000"/>
                  <a:lumOff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C12-4DA7-BD26-E25F2C14BDB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Dashboard!$C$13:$C$17</c:f>
              <c:strCache>
                <c:ptCount val="4"/>
                <c:pt idx="0">
                  <c:v>Raj</c:v>
                </c:pt>
                <c:pt idx="1">
                  <c:v>Priya</c:v>
                </c:pt>
                <c:pt idx="2">
                  <c:v>Neha</c:v>
                </c:pt>
                <c:pt idx="3">
                  <c:v>Amit</c:v>
                </c:pt>
              </c:strCache>
            </c:strRef>
          </c:cat>
          <c:val>
            <c:numRef>
              <c:f>Dashboard!$D$13:$D$17</c:f>
              <c:numCache>
                <c:formatCode>General</c:formatCode>
                <c:ptCount val="4"/>
                <c:pt idx="0">
                  <c:v>26115</c:v>
                </c:pt>
                <c:pt idx="1">
                  <c:v>21575</c:v>
                </c:pt>
                <c:pt idx="2">
                  <c:v>16375</c:v>
                </c:pt>
                <c:pt idx="3">
                  <c:v>11100</c:v>
                </c:pt>
              </c:numCache>
            </c:numRef>
          </c:val>
          <c:extLst>
            <c:ext xmlns:c16="http://schemas.microsoft.com/office/drawing/2014/chart" uri="{C3380CC4-5D6E-409C-BE32-E72D297353CC}">
              <c16:uniqueId val="{00000008-9D11-47ED-BC55-492C8E9E139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85234315934723903"/>
          <c:y val="0.34840466815192866"/>
          <c:w val="0.10033344648698683"/>
          <c:h val="0.34442430600496271"/>
        </c:manualLayout>
      </c:layout>
      <c:overlay val="0"/>
      <c:spPr>
        <a:solidFill>
          <a:schemeClr val="tx2">
            <a:lumMod val="10000"/>
            <a:lumOff val="90000"/>
          </a:schemeClr>
        </a:solidFill>
        <a:ln>
          <a:solidFill>
            <a:schemeClr val="tx1">
              <a:lumMod val="50000"/>
              <a:lumOff val="50000"/>
            </a:schemeClr>
          </a:solid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5D5"/>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Project.xlsm]Dashboard!PivotTable5</c:name>
    <c:fmtId val="0"/>
  </c:pivotSource>
  <c:chart>
    <c:title>
      <c:tx>
        <c:rich>
          <a:bodyPr rot="0" spcFirstLastPara="1" vertOverflow="ellipsis" vert="horz" wrap="square" anchor="ctr" anchorCtr="1"/>
          <a:lstStyle/>
          <a:p>
            <a:pPr>
              <a:defRPr lang="en-US" sz="1400" b="1" i="0" u="none" strike="noStrike" kern="1200" spc="0" baseline="0">
                <a:solidFill>
                  <a:sysClr val="windowText" lastClr="000000"/>
                </a:solidFill>
                <a:latin typeface="+mn-lt"/>
                <a:ea typeface="+mn-ea"/>
                <a:cs typeface="+mn-cs"/>
              </a:defRPr>
            </a:pPr>
            <a:r>
              <a:rPr lang="en-IN" sz="1400"/>
              <a:t>CATEGORY</a:t>
            </a:r>
            <a:r>
              <a:rPr lang="en-IN" sz="1400" baseline="0"/>
              <a:t> BY </a:t>
            </a:r>
            <a:r>
              <a:rPr lang="en-IN" sz="1400"/>
              <a:t>SALES</a:t>
            </a:r>
            <a:r>
              <a:rPr lang="en-IN" sz="1400" baseline="0"/>
              <a:t> AND QUANTITY </a:t>
            </a:r>
            <a:endParaRPr lang="en-IN" sz="1400"/>
          </a:p>
        </c:rich>
      </c:tx>
      <c:overlay val="0"/>
      <c:spPr>
        <a:noFill/>
        <a:ln>
          <a:noFill/>
        </a:ln>
        <a:effectLst/>
      </c:spPr>
      <c:txPr>
        <a:bodyPr rot="0" spcFirstLastPara="1" vertOverflow="ellipsis" vert="horz" wrap="square" anchor="ctr" anchorCtr="1"/>
        <a:lstStyle/>
        <a:p>
          <a:pPr>
            <a:defRPr lang="en-US" sz="1400" b="1" i="0" u="none" strike="noStrike" kern="1200" spc="0" baseline="0">
              <a:solidFill>
                <a:sysClr val="windowText" lastClr="000000"/>
              </a:solidFill>
              <a:latin typeface="+mn-lt"/>
              <a:ea typeface="+mn-ea"/>
              <a:cs typeface="+mn-cs"/>
            </a:defRPr>
          </a:pPr>
          <a:endParaRPr lang="en-IN"/>
        </a:p>
      </c:txPr>
    </c:title>
    <c:autoTitleDeleted val="0"/>
    <c:pivotFmts>
      <c:pivotFmt>
        <c:idx val="0"/>
        <c:spPr>
          <a:solidFill>
            <a:srgbClr val="100CAC"/>
          </a:solidFill>
          <a:ln>
            <a:noFill/>
          </a:ln>
          <a:effectLst/>
        </c:spPr>
        <c:marker>
          <c:symbol val="none"/>
        </c:marker>
        <c:dLbl>
          <c:idx val="0"/>
          <c:spPr>
            <a:solidFill>
              <a:srgbClr val="FFC000"/>
            </a:solidFill>
            <a:ln w="0">
              <a:solidFill>
                <a:srgbClr val="002060"/>
              </a:solidFill>
            </a:ln>
            <a:effectLst/>
          </c:spPr>
          <c:txPr>
            <a:bodyPr rot="0" spcFirstLastPara="1" vertOverflow="ellipsis" vert="horz" wrap="square" anchor="ctr" anchorCtr="1"/>
            <a:lstStyle/>
            <a:p>
              <a:pPr>
                <a:defRPr lang="en-US" sz="1080" b="1" i="0" u="none" strike="noStrike" kern="1200" spc="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chemeClr val="accent2">
                <a:lumMod val="75000"/>
              </a:schemeClr>
            </a:solidFill>
          </a:ln>
          <a:effectLst/>
        </c:spPr>
        <c:marker>
          <c:symbol val="none"/>
        </c:marker>
        <c:dLbl>
          <c:idx val="0"/>
          <c:spPr>
            <a:solidFill>
              <a:schemeClr val="accent4">
                <a:lumMod val="20000"/>
                <a:lumOff val="80000"/>
              </a:schemeClr>
            </a:solidFill>
            <a:ln w="0">
              <a:solidFill>
                <a:srgbClr val="002060"/>
              </a:solidFill>
            </a:ln>
            <a:effectLst/>
          </c:spPr>
          <c:txPr>
            <a:bodyPr rot="0" spcFirstLastPara="1" vertOverflow="ellipsis" vert="horz" wrap="square" anchor="ctr" anchorCtr="1"/>
            <a:lstStyle/>
            <a:p>
              <a:pPr>
                <a:defRPr lang="en-US" sz="1080" b="1" i="0" u="none" strike="noStrike" kern="1200" spc="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46EA3"/>
          </a:solidFill>
          <a:ln>
            <a:solidFill>
              <a:schemeClr val="accent2">
                <a:lumMod val="75000"/>
              </a:schemeClr>
            </a:solidFill>
          </a:ln>
          <a:effectLst/>
        </c:spPr>
      </c:pivotFmt>
      <c:pivotFmt>
        <c:idx val="3"/>
        <c:spPr>
          <a:solidFill>
            <a:srgbClr val="E46EA3"/>
          </a:solidFill>
          <a:ln>
            <a:solidFill>
              <a:schemeClr val="accent2">
                <a:lumMod val="75000"/>
              </a:schemeClr>
            </a:solidFill>
          </a:ln>
          <a:effectLst/>
        </c:spPr>
      </c:pivotFmt>
      <c:pivotFmt>
        <c:idx val="4"/>
        <c:spPr>
          <a:solidFill>
            <a:srgbClr val="E46EA3"/>
          </a:solidFill>
          <a:ln>
            <a:solidFill>
              <a:schemeClr val="accent2">
                <a:lumMod val="75000"/>
              </a:schemeClr>
            </a:solidFill>
          </a:ln>
          <a:effectLst/>
        </c:spPr>
      </c:pivotFmt>
    </c:pivotFmts>
    <c:plotArea>
      <c:layout/>
      <c:barChart>
        <c:barDir val="col"/>
        <c:grouping val="clustered"/>
        <c:varyColors val="0"/>
        <c:ser>
          <c:idx val="0"/>
          <c:order val="0"/>
          <c:tx>
            <c:strRef>
              <c:f>Dashboard!$M$20</c:f>
              <c:strCache>
                <c:ptCount val="1"/>
                <c:pt idx="0">
                  <c:v>Total Quantity</c:v>
                </c:pt>
              </c:strCache>
            </c:strRef>
          </c:tx>
          <c:spPr>
            <a:solidFill>
              <a:srgbClr val="100CAC"/>
            </a:solidFill>
            <a:ln>
              <a:noFill/>
            </a:ln>
            <a:effectLst/>
          </c:spPr>
          <c:invertIfNegative val="0"/>
          <c:dLbls>
            <c:spPr>
              <a:solidFill>
                <a:srgbClr val="FFC000"/>
              </a:solidFill>
              <a:ln w="0">
                <a:solidFill>
                  <a:srgbClr val="002060"/>
                </a:solidFill>
              </a:ln>
              <a:effectLst/>
            </c:spPr>
            <c:txPr>
              <a:bodyPr rot="0" spcFirstLastPara="1" vertOverflow="ellipsis" vert="horz" wrap="square" anchor="ctr" anchorCtr="1"/>
              <a:lstStyle/>
              <a:p>
                <a:pPr>
                  <a:defRPr lang="en-US" sz="1080" b="1" i="0" u="none" strike="noStrike" kern="1200" spc="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Dashboard!$L$21:$L$24</c:f>
              <c:strCache>
                <c:ptCount val="3"/>
                <c:pt idx="0">
                  <c:v>Dairy</c:v>
                </c:pt>
                <c:pt idx="1">
                  <c:v>Snacks</c:v>
                </c:pt>
                <c:pt idx="2">
                  <c:v>Beverages</c:v>
                </c:pt>
              </c:strCache>
            </c:strRef>
          </c:cat>
          <c:val>
            <c:numRef>
              <c:f>Dashboard!$M$21:$M$24</c:f>
              <c:numCache>
                <c:formatCode>General</c:formatCode>
                <c:ptCount val="3"/>
                <c:pt idx="0">
                  <c:v>783</c:v>
                </c:pt>
                <c:pt idx="1">
                  <c:v>609</c:v>
                </c:pt>
                <c:pt idx="2">
                  <c:v>606</c:v>
                </c:pt>
              </c:numCache>
            </c:numRef>
          </c:val>
          <c:extLst>
            <c:ext xmlns:c16="http://schemas.microsoft.com/office/drawing/2014/chart" uri="{C3380CC4-5D6E-409C-BE32-E72D297353CC}">
              <c16:uniqueId val="{00000006-7DEE-4D74-A0B6-218F91D73559}"/>
            </c:ext>
          </c:extLst>
        </c:ser>
        <c:ser>
          <c:idx val="1"/>
          <c:order val="1"/>
          <c:tx>
            <c:strRef>
              <c:f>Dashboard!$N$20</c:f>
              <c:strCache>
                <c:ptCount val="1"/>
                <c:pt idx="0">
                  <c:v>Total Sales</c:v>
                </c:pt>
              </c:strCache>
            </c:strRef>
          </c:tx>
          <c:spPr>
            <a:solidFill>
              <a:schemeClr val="accent2"/>
            </a:solidFill>
            <a:ln>
              <a:solidFill>
                <a:schemeClr val="accent2">
                  <a:lumMod val="75000"/>
                </a:schemeClr>
              </a:solidFill>
            </a:ln>
            <a:effectLst/>
          </c:spPr>
          <c:invertIfNegative val="0"/>
          <c:dPt>
            <c:idx val="0"/>
            <c:invertIfNegative val="0"/>
            <c:bubble3D val="0"/>
            <c:spPr>
              <a:solidFill>
                <a:srgbClr val="E46EA3"/>
              </a:solidFill>
              <a:ln>
                <a:solidFill>
                  <a:schemeClr val="accent2">
                    <a:lumMod val="75000"/>
                  </a:schemeClr>
                </a:solidFill>
              </a:ln>
              <a:effectLst/>
            </c:spPr>
            <c:extLst>
              <c:ext xmlns:c16="http://schemas.microsoft.com/office/drawing/2014/chart" uri="{C3380CC4-5D6E-409C-BE32-E72D297353CC}">
                <c16:uniqueId val="{00000001-25D6-4FFC-9793-2FFA69B416AB}"/>
              </c:ext>
            </c:extLst>
          </c:dPt>
          <c:dPt>
            <c:idx val="1"/>
            <c:invertIfNegative val="0"/>
            <c:bubble3D val="0"/>
            <c:spPr>
              <a:solidFill>
                <a:srgbClr val="E46EA3"/>
              </a:solidFill>
              <a:ln>
                <a:solidFill>
                  <a:schemeClr val="accent2">
                    <a:lumMod val="75000"/>
                  </a:schemeClr>
                </a:solidFill>
              </a:ln>
              <a:effectLst/>
            </c:spPr>
            <c:extLst>
              <c:ext xmlns:c16="http://schemas.microsoft.com/office/drawing/2014/chart" uri="{C3380CC4-5D6E-409C-BE32-E72D297353CC}">
                <c16:uniqueId val="{00000003-25D6-4FFC-9793-2FFA69B416AB}"/>
              </c:ext>
            </c:extLst>
          </c:dPt>
          <c:dPt>
            <c:idx val="2"/>
            <c:invertIfNegative val="0"/>
            <c:bubble3D val="0"/>
            <c:spPr>
              <a:solidFill>
                <a:srgbClr val="E46EA3"/>
              </a:solidFill>
              <a:ln>
                <a:solidFill>
                  <a:schemeClr val="accent2">
                    <a:lumMod val="75000"/>
                  </a:schemeClr>
                </a:solidFill>
              </a:ln>
              <a:effectLst/>
            </c:spPr>
            <c:extLst>
              <c:ext xmlns:c16="http://schemas.microsoft.com/office/drawing/2014/chart" uri="{C3380CC4-5D6E-409C-BE32-E72D297353CC}">
                <c16:uniqueId val="{00000005-25D6-4FFC-9793-2FFA69B416AB}"/>
              </c:ext>
            </c:extLst>
          </c:dPt>
          <c:dLbls>
            <c:spPr>
              <a:solidFill>
                <a:schemeClr val="accent4">
                  <a:lumMod val="20000"/>
                  <a:lumOff val="80000"/>
                </a:schemeClr>
              </a:solidFill>
              <a:ln w="0">
                <a:solidFill>
                  <a:srgbClr val="002060"/>
                </a:solidFill>
              </a:ln>
              <a:effectLst/>
            </c:spPr>
            <c:txPr>
              <a:bodyPr rot="0" spcFirstLastPara="1" vertOverflow="ellipsis" vert="horz" wrap="square" anchor="ctr" anchorCtr="1"/>
              <a:lstStyle/>
              <a:p>
                <a:pPr>
                  <a:defRPr lang="en-US" sz="1080" b="1" i="0" u="none" strike="noStrike" kern="1200" spc="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Dashboard!$L$21:$L$24</c:f>
              <c:strCache>
                <c:ptCount val="3"/>
                <c:pt idx="0">
                  <c:v>Dairy</c:v>
                </c:pt>
                <c:pt idx="1">
                  <c:v>Snacks</c:v>
                </c:pt>
                <c:pt idx="2">
                  <c:v>Beverages</c:v>
                </c:pt>
              </c:strCache>
            </c:strRef>
          </c:cat>
          <c:val>
            <c:numRef>
              <c:f>Dashboard!$N$21:$N$24</c:f>
              <c:numCache>
                <c:formatCode>General</c:formatCode>
                <c:ptCount val="3"/>
                <c:pt idx="0">
                  <c:v>30465</c:v>
                </c:pt>
                <c:pt idx="1">
                  <c:v>22650</c:v>
                </c:pt>
                <c:pt idx="2">
                  <c:v>22050</c:v>
                </c:pt>
              </c:numCache>
            </c:numRef>
          </c:val>
          <c:extLst>
            <c:ext xmlns:c16="http://schemas.microsoft.com/office/drawing/2014/chart" uri="{C3380CC4-5D6E-409C-BE32-E72D297353CC}">
              <c16:uniqueId val="{00000007-7DEE-4D74-A0B6-218F91D73559}"/>
            </c:ext>
          </c:extLst>
        </c:ser>
        <c:dLbls>
          <c:showLegendKey val="0"/>
          <c:showVal val="0"/>
          <c:showCatName val="0"/>
          <c:showSerName val="0"/>
          <c:showPercent val="0"/>
          <c:showBubbleSize val="0"/>
        </c:dLbls>
        <c:gapWidth val="219"/>
        <c:axId val="695586816"/>
        <c:axId val="695587296"/>
      </c:barChart>
      <c:catAx>
        <c:axId val="69558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80" b="1" i="0" u="none" strike="noStrike" kern="1200" spc="0" baseline="0">
                <a:solidFill>
                  <a:sysClr val="windowText" lastClr="000000"/>
                </a:solidFill>
                <a:latin typeface="+mn-lt"/>
                <a:ea typeface="+mn-ea"/>
                <a:cs typeface="+mn-cs"/>
              </a:defRPr>
            </a:pPr>
            <a:endParaRPr lang="en-US"/>
          </a:p>
        </c:txPr>
        <c:crossAx val="695587296"/>
        <c:crosses val="autoZero"/>
        <c:auto val="1"/>
        <c:lblAlgn val="ctr"/>
        <c:lblOffset val="100"/>
        <c:noMultiLvlLbl val="0"/>
      </c:catAx>
      <c:valAx>
        <c:axId val="695587296"/>
        <c:scaling>
          <c:orientation val="minMax"/>
        </c:scaling>
        <c:delete val="1"/>
        <c:axPos val="l"/>
        <c:numFmt formatCode="General" sourceLinked="1"/>
        <c:majorTickMark val="none"/>
        <c:minorTickMark val="none"/>
        <c:tickLblPos val="nextTo"/>
        <c:crossAx val="695586816"/>
        <c:crosses val="autoZero"/>
        <c:crossBetween val="between"/>
      </c:valAx>
      <c:spPr>
        <a:noFill/>
        <a:ln>
          <a:noFill/>
        </a:ln>
        <a:effectLst/>
      </c:spPr>
    </c:plotArea>
    <c:legend>
      <c:legendPos val="b"/>
      <c:overlay val="0"/>
      <c:spPr>
        <a:solidFill>
          <a:schemeClr val="tx2">
            <a:lumMod val="10000"/>
            <a:lumOff val="90000"/>
          </a:schemeClr>
        </a:solidFill>
        <a:ln>
          <a:noFill/>
        </a:ln>
        <a:effectLst/>
      </c:spPr>
      <c:txPr>
        <a:bodyPr rot="0" spcFirstLastPara="1" vertOverflow="ellipsis" vert="horz" wrap="square" anchor="ctr" anchorCtr="1"/>
        <a:lstStyle/>
        <a:p>
          <a:pPr>
            <a:defRPr lang="en-US" sz="1080" b="1" i="0" u="none" strike="noStrike" kern="1200" spc="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5D5"/>
    </a:solidFill>
    <a:ln w="9525" cap="flat" cmpd="sng" algn="ctr">
      <a:solidFill>
        <a:schemeClr val="tx1"/>
      </a:solidFill>
      <a:round/>
    </a:ln>
    <a:effectLst/>
  </c:spPr>
  <c:txPr>
    <a:bodyPr/>
    <a:lstStyle/>
    <a:p>
      <a:pPr algn="ctr">
        <a:defRPr lang="en-US" sz="1080" b="1" i="0" u="none" strike="noStrike" kern="1200" spc="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Project.xlsm]Dashboard!PivotTable8</c:name>
    <c:fmtId val="0"/>
  </c:pivotSource>
  <c:chart>
    <c:title>
      <c:tx>
        <c:rich>
          <a:bodyPr rot="0" spcFirstLastPara="1" vertOverflow="ellipsis" vert="horz" wrap="square" anchor="ctr" anchorCtr="1"/>
          <a:lstStyle/>
          <a:p>
            <a:pPr>
              <a:defRPr lang="en-US" sz="1296" b="1" i="0" u="none" strike="noStrike" kern="1200" spc="0" baseline="0">
                <a:solidFill>
                  <a:sysClr val="windowText" lastClr="000000"/>
                </a:solidFill>
                <a:latin typeface="+mn-lt"/>
                <a:ea typeface="+mn-ea"/>
                <a:cs typeface="+mn-cs"/>
              </a:defRPr>
            </a:pPr>
            <a:r>
              <a:rPr lang="en-US"/>
              <a:t>SALES BY MONTH</a:t>
            </a:r>
          </a:p>
        </c:rich>
      </c:tx>
      <c:overlay val="0"/>
      <c:spPr>
        <a:noFill/>
        <a:ln>
          <a:noFill/>
        </a:ln>
        <a:effectLst/>
      </c:spPr>
      <c:txPr>
        <a:bodyPr rot="0" spcFirstLastPara="1" vertOverflow="ellipsis" vert="horz" wrap="square" anchor="ctr" anchorCtr="1"/>
        <a:lstStyle/>
        <a:p>
          <a:pPr>
            <a:defRPr lang="en-US" sz="1296" b="1" i="0" u="none" strike="noStrike" kern="1200" spc="0" baseline="0">
              <a:solidFill>
                <a:sysClr val="windowText" lastClr="000000"/>
              </a:solidFill>
              <a:latin typeface="+mn-lt"/>
              <a:ea typeface="+mn-ea"/>
              <a:cs typeface="+mn-cs"/>
            </a:defRPr>
          </a:pPr>
          <a:endParaRPr lang="en-US"/>
        </a:p>
      </c:txPr>
    </c:title>
    <c:autoTitleDeleted val="0"/>
    <c:pivotFmts>
      <c:pivotFmt>
        <c:idx val="0"/>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80" b="1" i="0" u="none" strike="noStrike" kern="1200" spc="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646291557346301E-2"/>
          <c:y val="0.27665750531812322"/>
          <c:w val="0.95335370844265355"/>
          <c:h val="0.51237914171133181"/>
        </c:manualLayout>
      </c:layout>
      <c:lineChart>
        <c:grouping val="standard"/>
        <c:varyColors val="0"/>
        <c:ser>
          <c:idx val="0"/>
          <c:order val="0"/>
          <c:tx>
            <c:strRef>
              <c:f>Dashboard!$P$12</c:f>
              <c:strCache>
                <c:ptCount val="1"/>
                <c:pt idx="0">
                  <c:v>Total</c:v>
                </c:pt>
              </c:strCache>
            </c:strRef>
          </c:tx>
          <c:spPr>
            <a:ln w="28575" cap="rnd">
              <a:solidFill>
                <a:srgbClr val="FF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lang="en-US" sz="1080" b="1" i="0" u="none" strike="noStrike" kern="1200" spc="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Dashboard!$O$13:$O$19</c:f>
              <c:strCache>
                <c:ptCount val="7"/>
                <c:pt idx="0">
                  <c:v>May</c:v>
                </c:pt>
                <c:pt idx="1">
                  <c:v>June</c:v>
                </c:pt>
                <c:pt idx="2">
                  <c:v>April</c:v>
                </c:pt>
                <c:pt idx="3">
                  <c:v>March</c:v>
                </c:pt>
                <c:pt idx="4">
                  <c:v>January</c:v>
                </c:pt>
                <c:pt idx="5">
                  <c:v>February</c:v>
                </c:pt>
                <c:pt idx="6">
                  <c:v>July</c:v>
                </c:pt>
              </c:strCache>
            </c:strRef>
          </c:cat>
          <c:val>
            <c:numRef>
              <c:f>Dashboard!$P$13:$P$19</c:f>
              <c:numCache>
                <c:formatCode>General</c:formatCode>
                <c:ptCount val="7"/>
                <c:pt idx="0">
                  <c:v>12785</c:v>
                </c:pt>
                <c:pt idx="1">
                  <c:v>12540</c:v>
                </c:pt>
                <c:pt idx="2">
                  <c:v>12200</c:v>
                </c:pt>
                <c:pt idx="3">
                  <c:v>11055</c:v>
                </c:pt>
                <c:pt idx="4">
                  <c:v>10640</c:v>
                </c:pt>
                <c:pt idx="5">
                  <c:v>9960</c:v>
                </c:pt>
                <c:pt idx="6">
                  <c:v>5985</c:v>
                </c:pt>
              </c:numCache>
            </c:numRef>
          </c:val>
          <c:smooth val="0"/>
          <c:extLst>
            <c:ext xmlns:c16="http://schemas.microsoft.com/office/drawing/2014/chart" uri="{C3380CC4-5D6E-409C-BE32-E72D297353CC}">
              <c16:uniqueId val="{00000000-BA5E-4B51-AC98-258CCF1A1A75}"/>
            </c:ext>
          </c:extLst>
        </c:ser>
        <c:dLbls>
          <c:dLblPos val="t"/>
          <c:showLegendKey val="0"/>
          <c:showVal val="1"/>
          <c:showCatName val="0"/>
          <c:showSerName val="0"/>
          <c:showPercent val="0"/>
          <c:showBubbleSize val="0"/>
        </c:dLbls>
        <c:smooth val="0"/>
        <c:axId val="694442176"/>
        <c:axId val="694442656"/>
      </c:lineChart>
      <c:catAx>
        <c:axId val="6944421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spc="0" baseline="0">
                <a:solidFill>
                  <a:sysClr val="windowText" lastClr="000000"/>
                </a:solidFill>
                <a:latin typeface="+mn-lt"/>
                <a:ea typeface="+mn-ea"/>
                <a:cs typeface="+mn-cs"/>
              </a:defRPr>
            </a:pPr>
            <a:endParaRPr lang="en-US"/>
          </a:p>
        </c:txPr>
        <c:crossAx val="694442656"/>
        <c:crosses val="autoZero"/>
        <c:auto val="1"/>
        <c:lblAlgn val="ctr"/>
        <c:lblOffset val="100"/>
        <c:noMultiLvlLbl val="0"/>
      </c:catAx>
      <c:valAx>
        <c:axId val="694442656"/>
        <c:scaling>
          <c:orientation val="minMax"/>
        </c:scaling>
        <c:delete val="1"/>
        <c:axPos val="l"/>
        <c:numFmt formatCode="General" sourceLinked="1"/>
        <c:majorTickMark val="out"/>
        <c:minorTickMark val="none"/>
        <c:tickLblPos val="nextTo"/>
        <c:crossAx val="694442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5D5"/>
    </a:solidFill>
    <a:ln w="9525" cap="flat" cmpd="sng" algn="ctr">
      <a:solidFill>
        <a:schemeClr val="tx1"/>
      </a:solidFill>
      <a:round/>
    </a:ln>
    <a:effectLst/>
  </c:spPr>
  <c:txPr>
    <a:bodyPr/>
    <a:lstStyle/>
    <a:p>
      <a:pPr algn="ctr">
        <a:defRPr lang="en-US" sz="1080" b="1" i="0" u="none" strike="noStrike" kern="1200" spc="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1</xdr:rowOff>
    </xdr:from>
    <xdr:to>
      <xdr:col>23</xdr:col>
      <xdr:colOff>0</xdr:colOff>
      <xdr:row>60</xdr:row>
      <xdr:rowOff>37172</xdr:rowOff>
    </xdr:to>
    <xdr:sp macro="" textlink="">
      <xdr:nvSpPr>
        <xdr:cNvPr id="9" name="Rectangle 8">
          <a:extLst>
            <a:ext uri="{FF2B5EF4-FFF2-40B4-BE49-F238E27FC236}">
              <a16:creationId xmlns:a16="http://schemas.microsoft.com/office/drawing/2014/main" id="{14E2A47B-00FA-AAB4-0D66-0861E356B4D0}"/>
            </a:ext>
          </a:extLst>
        </xdr:cNvPr>
        <xdr:cNvSpPr/>
      </xdr:nvSpPr>
      <xdr:spPr>
        <a:xfrm>
          <a:off x="947854" y="1"/>
          <a:ext cx="17786195" cy="11430000"/>
        </a:xfrm>
        <a:prstGeom prst="rect">
          <a:avLst/>
        </a:prstGeom>
        <a:noFill/>
        <a:ln w="28575">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14</xdr:col>
      <xdr:colOff>591353</xdr:colOff>
      <xdr:row>1</xdr:row>
      <xdr:rowOff>80351</xdr:rowOff>
    </xdr:from>
    <xdr:to>
      <xdr:col>22</xdr:col>
      <xdr:colOff>383502</xdr:colOff>
      <xdr:row>3</xdr:row>
      <xdr:rowOff>122030</xdr:rowOff>
    </xdr:to>
    <mc:AlternateContent xmlns:mc="http://schemas.openxmlformats.org/markup-compatibility/2006" xmlns:a14="http://schemas.microsoft.com/office/drawing/2010/main">
      <mc:Choice Requires="a14">
        <xdr:graphicFrame macro="">
          <xdr:nvGraphicFramePr>
            <xdr:cNvPr id="16" name="SalesPerson">
              <a:extLst>
                <a:ext uri="{FF2B5EF4-FFF2-40B4-BE49-F238E27FC236}">
                  <a16:creationId xmlns:a16="http://schemas.microsoft.com/office/drawing/2014/main" id="{482AD461-27B1-226C-97CA-F725973FC33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13066888" y="470211"/>
              <a:ext cx="5015025" cy="3999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255962</xdr:colOff>
      <xdr:row>1</xdr:row>
      <xdr:rowOff>53168</xdr:rowOff>
    </xdr:from>
    <xdr:to>
      <xdr:col>7</xdr:col>
      <xdr:colOff>272379</xdr:colOff>
      <xdr:row>3</xdr:row>
      <xdr:rowOff>79009</xdr:rowOff>
    </xdr:to>
    <mc:AlternateContent xmlns:mc="http://schemas.openxmlformats.org/markup-compatibility/2006" xmlns:a14="http://schemas.microsoft.com/office/drawing/2010/main">
      <mc:Choice Requires="a14">
        <xdr:graphicFrame macro="">
          <xdr:nvGraphicFramePr>
            <xdr:cNvPr id="17" name="Region">
              <a:extLst>
                <a:ext uri="{FF2B5EF4-FFF2-40B4-BE49-F238E27FC236}">
                  <a16:creationId xmlns:a16="http://schemas.microsoft.com/office/drawing/2014/main" id="{8715B1F8-A14F-B8BD-3DED-2696BB621B69}"/>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460985" y="443028"/>
              <a:ext cx="4925115" cy="3840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418666</xdr:colOff>
      <xdr:row>1</xdr:row>
      <xdr:rowOff>92274</xdr:rowOff>
    </xdr:from>
    <xdr:to>
      <xdr:col>13</xdr:col>
      <xdr:colOff>757774</xdr:colOff>
      <xdr:row>3</xdr:row>
      <xdr:rowOff>122030</xdr:rowOff>
    </xdr:to>
    <mc:AlternateContent xmlns:mc="http://schemas.openxmlformats.org/markup-compatibility/2006" xmlns:a14="http://schemas.microsoft.com/office/drawing/2010/main">
      <mc:Choice Requires="a14">
        <xdr:graphicFrame macro="">
          <xdr:nvGraphicFramePr>
            <xdr:cNvPr id="18" name="Category">
              <a:extLst>
                <a:ext uri="{FF2B5EF4-FFF2-40B4-BE49-F238E27FC236}">
                  <a16:creationId xmlns:a16="http://schemas.microsoft.com/office/drawing/2014/main" id="{FDB9E781-EA2A-3E96-ADA2-46D808E2EE0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6993131" y="482134"/>
              <a:ext cx="5460457" cy="3879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118024</xdr:colOff>
      <xdr:row>27</xdr:row>
      <xdr:rowOff>45666</xdr:rowOff>
    </xdr:from>
    <xdr:to>
      <xdr:col>13</xdr:col>
      <xdr:colOff>699356</xdr:colOff>
      <xdr:row>42</xdr:row>
      <xdr:rowOff>10308</xdr:rowOff>
    </xdr:to>
    <xdr:graphicFrame macro="">
      <xdr:nvGraphicFramePr>
        <xdr:cNvPr id="2" name="Chart 1">
          <a:extLst>
            <a:ext uri="{FF2B5EF4-FFF2-40B4-BE49-F238E27FC236}">
              <a16:creationId xmlns:a16="http://schemas.microsoft.com/office/drawing/2014/main" id="{D04F16BE-971E-2152-75AD-F01E82CB44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14</xdr:col>
      <xdr:colOff>432735</xdr:colOff>
      <xdr:row>27</xdr:row>
      <xdr:rowOff>95391</xdr:rowOff>
    </xdr:from>
    <xdr:to>
      <xdr:col>22</xdr:col>
      <xdr:colOff>204720</xdr:colOff>
      <xdr:row>42</xdr:row>
      <xdr:rowOff>58320</xdr:rowOff>
    </xdr:to>
    <xdr:graphicFrame macro="">
      <xdr:nvGraphicFramePr>
        <xdr:cNvPr id="4" name="Chart 3">
          <a:extLst>
            <a:ext uri="{FF2B5EF4-FFF2-40B4-BE49-F238E27FC236}">
              <a16:creationId xmlns:a16="http://schemas.microsoft.com/office/drawing/2014/main" id="{54B7DDB5-3D32-6DA8-F204-580513B503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323956</xdr:colOff>
      <xdr:row>43</xdr:row>
      <xdr:rowOff>95715</xdr:rowOff>
    </xdr:from>
    <xdr:to>
      <xdr:col>6</xdr:col>
      <xdr:colOff>910683</xdr:colOff>
      <xdr:row>58</xdr:row>
      <xdr:rowOff>58646</xdr:rowOff>
    </xdr:to>
    <xdr:graphicFrame macro="">
      <xdr:nvGraphicFramePr>
        <xdr:cNvPr id="5" name="Chart 4">
          <a:extLst>
            <a:ext uri="{FF2B5EF4-FFF2-40B4-BE49-F238E27FC236}">
              <a16:creationId xmlns:a16="http://schemas.microsoft.com/office/drawing/2014/main" id="{7CA8EAC0-473F-BAD3-B2A4-004AD48875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164682</xdr:colOff>
      <xdr:row>43</xdr:row>
      <xdr:rowOff>157926</xdr:rowOff>
    </xdr:from>
    <xdr:to>
      <xdr:col>13</xdr:col>
      <xdr:colOff>699356</xdr:colOff>
      <xdr:row>58</xdr:row>
      <xdr:rowOff>85384</xdr:rowOff>
    </xdr:to>
    <xdr:graphicFrame macro="">
      <xdr:nvGraphicFramePr>
        <xdr:cNvPr id="6" name="Chart 5">
          <a:extLst>
            <a:ext uri="{FF2B5EF4-FFF2-40B4-BE49-F238E27FC236}">
              <a16:creationId xmlns:a16="http://schemas.microsoft.com/office/drawing/2014/main" id="{6C9C6721-F1A1-A86B-C42A-8B55EAC2AB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xdr:col>
      <xdr:colOff>299657</xdr:colOff>
      <xdr:row>27</xdr:row>
      <xdr:rowOff>45666</xdr:rowOff>
    </xdr:from>
    <xdr:to>
      <xdr:col>6</xdr:col>
      <xdr:colOff>910683</xdr:colOff>
      <xdr:row>41</xdr:row>
      <xdr:rowOff>172760</xdr:rowOff>
    </xdr:to>
    <xdr:graphicFrame macro="">
      <xdr:nvGraphicFramePr>
        <xdr:cNvPr id="7" name="Chart 6">
          <a:extLst>
            <a:ext uri="{FF2B5EF4-FFF2-40B4-BE49-F238E27FC236}">
              <a16:creationId xmlns:a16="http://schemas.microsoft.com/office/drawing/2014/main" id="{3A30C2D2-A6F9-B628-6F1F-004608E2C7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14</xdr:col>
      <xdr:colOff>473617</xdr:colOff>
      <xdr:row>43</xdr:row>
      <xdr:rowOff>157926</xdr:rowOff>
    </xdr:from>
    <xdr:to>
      <xdr:col>22</xdr:col>
      <xdr:colOff>204720</xdr:colOff>
      <xdr:row>58</xdr:row>
      <xdr:rowOff>177158</xdr:rowOff>
    </xdr:to>
    <xdr:graphicFrame macro="">
      <xdr:nvGraphicFramePr>
        <xdr:cNvPr id="8" name="Chart 7">
          <a:extLst>
            <a:ext uri="{FF2B5EF4-FFF2-40B4-BE49-F238E27FC236}">
              <a16:creationId xmlns:a16="http://schemas.microsoft.com/office/drawing/2014/main" id="{1A8DA2C7-B3D6-EBC9-2E94-4ED156DB3F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224255</xdr:colOff>
      <xdr:row>11</xdr:row>
      <xdr:rowOff>56057</xdr:rowOff>
    </xdr:from>
    <xdr:to>
      <xdr:col>22</xdr:col>
      <xdr:colOff>315951</xdr:colOff>
      <xdr:row>25</xdr:row>
      <xdr:rowOff>165957</xdr:rowOff>
    </xdr:to>
    <xdr:graphicFrame macro="">
      <xdr:nvGraphicFramePr>
        <xdr:cNvPr id="11" name="Chart 10">
          <a:extLst>
            <a:ext uri="{FF2B5EF4-FFF2-40B4-BE49-F238E27FC236}">
              <a16:creationId xmlns:a16="http://schemas.microsoft.com/office/drawing/2014/main" id="{18F81472-59EA-D58E-177B-7041ED4944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45176</xdr:colOff>
      <xdr:row>5</xdr:row>
      <xdr:rowOff>18143</xdr:rowOff>
    </xdr:from>
    <xdr:to>
      <xdr:col>4</xdr:col>
      <xdr:colOff>369013</xdr:colOff>
      <xdr:row>8</xdr:row>
      <xdr:rowOff>18143</xdr:rowOff>
    </xdr:to>
    <xdr:sp macro="" textlink="">
      <xdr:nvSpPr>
        <xdr:cNvPr id="13" name="TextBox 12">
          <a:extLst>
            <a:ext uri="{FF2B5EF4-FFF2-40B4-BE49-F238E27FC236}">
              <a16:creationId xmlns:a16="http://schemas.microsoft.com/office/drawing/2014/main" id="{21AD6D5A-F5D8-8247-8869-F5863D4F95E4}"/>
            </a:ext>
          </a:extLst>
        </xdr:cNvPr>
        <xdr:cNvSpPr txBox="1"/>
      </xdr:nvSpPr>
      <xdr:spPr>
        <a:xfrm>
          <a:off x="1260747" y="1143000"/>
          <a:ext cx="1793409" cy="589643"/>
        </a:xfrm>
        <a:prstGeom prst="rect">
          <a:avLst/>
        </a:prstGeom>
        <a:noFill/>
        <a:ln w="381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TOTAL</a:t>
          </a:r>
          <a:r>
            <a:rPr lang="en-IN" sz="1400" b="1" baseline="0"/>
            <a:t> SALES</a:t>
          </a:r>
          <a:endParaRPr lang="en-IN" sz="1400" b="1"/>
        </a:p>
      </xdr:txBody>
    </xdr:sp>
    <xdr:clientData/>
  </xdr:twoCellAnchor>
  <xdr:twoCellAnchor>
    <xdr:from>
      <xdr:col>5</xdr:col>
      <xdr:colOff>290286</xdr:colOff>
      <xdr:row>5</xdr:row>
      <xdr:rowOff>30238</xdr:rowOff>
    </xdr:from>
    <xdr:to>
      <xdr:col>8</xdr:col>
      <xdr:colOff>12095</xdr:colOff>
      <xdr:row>8</xdr:row>
      <xdr:rowOff>30238</xdr:rowOff>
    </xdr:to>
    <xdr:sp macro="" textlink="">
      <xdr:nvSpPr>
        <xdr:cNvPr id="14" name="TextBox 13">
          <a:extLst>
            <a:ext uri="{FF2B5EF4-FFF2-40B4-BE49-F238E27FC236}">
              <a16:creationId xmlns:a16="http://schemas.microsoft.com/office/drawing/2014/main" id="{F8D45B2F-D396-EE26-EF96-908BD1D3ACD6}"/>
            </a:ext>
          </a:extLst>
        </xdr:cNvPr>
        <xdr:cNvSpPr txBox="1"/>
      </xdr:nvSpPr>
      <xdr:spPr>
        <a:xfrm>
          <a:off x="4293810" y="1155095"/>
          <a:ext cx="2419047" cy="592667"/>
        </a:xfrm>
        <a:prstGeom prst="rect">
          <a:avLst/>
        </a:prstGeom>
        <a:noFill/>
        <a:ln w="381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TARGET</a:t>
          </a:r>
          <a:r>
            <a:rPr lang="en-IN" sz="1400" b="1" baseline="0"/>
            <a:t> ACHIEVEMENT %</a:t>
          </a:r>
          <a:endParaRPr lang="en-IN" sz="1400" b="1"/>
        </a:p>
      </xdr:txBody>
    </xdr:sp>
    <xdr:clientData/>
  </xdr:twoCellAnchor>
  <xdr:twoCellAnchor>
    <xdr:from>
      <xdr:col>8</xdr:col>
      <xdr:colOff>758544</xdr:colOff>
      <xdr:row>5</xdr:row>
      <xdr:rowOff>27214</xdr:rowOff>
    </xdr:from>
    <xdr:to>
      <xdr:col>10</xdr:col>
      <xdr:colOff>439919</xdr:colOff>
      <xdr:row>8</xdr:row>
      <xdr:rowOff>27214</xdr:rowOff>
    </xdr:to>
    <xdr:sp macro="" textlink="">
      <xdr:nvSpPr>
        <xdr:cNvPr id="15" name="TextBox 14">
          <a:extLst>
            <a:ext uri="{FF2B5EF4-FFF2-40B4-BE49-F238E27FC236}">
              <a16:creationId xmlns:a16="http://schemas.microsoft.com/office/drawing/2014/main" id="{F55B5595-41B5-E360-30C0-3513D1E3976E}"/>
            </a:ext>
          </a:extLst>
        </xdr:cNvPr>
        <xdr:cNvSpPr txBox="1"/>
      </xdr:nvSpPr>
      <xdr:spPr>
        <a:xfrm>
          <a:off x="7357752" y="1177403"/>
          <a:ext cx="2183035" cy="603849"/>
        </a:xfrm>
        <a:prstGeom prst="rect">
          <a:avLst/>
        </a:prstGeom>
        <a:noFill/>
        <a:ln w="381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baseline="0"/>
            <a:t>TOP REGION</a:t>
          </a:r>
          <a:endParaRPr lang="en-IN" sz="1400" b="1"/>
        </a:p>
      </xdr:txBody>
    </xdr:sp>
    <xdr:clientData/>
  </xdr:twoCellAnchor>
  <xdr:twoCellAnchor>
    <xdr:from>
      <xdr:col>11</xdr:col>
      <xdr:colOff>875013</xdr:colOff>
      <xdr:row>5</xdr:row>
      <xdr:rowOff>27214</xdr:rowOff>
    </xdr:from>
    <xdr:to>
      <xdr:col>13</xdr:col>
      <xdr:colOff>757774</xdr:colOff>
      <xdr:row>8</xdr:row>
      <xdr:rowOff>27214</xdr:rowOff>
    </xdr:to>
    <xdr:sp macro="" textlink="">
      <xdr:nvSpPr>
        <xdr:cNvPr id="19" name="TextBox 18">
          <a:extLst>
            <a:ext uri="{FF2B5EF4-FFF2-40B4-BE49-F238E27FC236}">
              <a16:creationId xmlns:a16="http://schemas.microsoft.com/office/drawing/2014/main" id="{89A5CD83-52D1-1CB8-DFDE-4B808B774744}"/>
            </a:ext>
          </a:extLst>
        </xdr:cNvPr>
        <xdr:cNvSpPr txBox="1"/>
      </xdr:nvSpPr>
      <xdr:spPr>
        <a:xfrm>
          <a:off x="10421579" y="1177403"/>
          <a:ext cx="2053742" cy="603849"/>
        </a:xfrm>
        <a:prstGeom prst="rect">
          <a:avLst/>
        </a:prstGeom>
        <a:noFill/>
        <a:ln w="381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TOP</a:t>
          </a:r>
          <a:r>
            <a:rPr lang="en-IN" sz="1400" b="1" baseline="0"/>
            <a:t> CATGEORY</a:t>
          </a:r>
          <a:endParaRPr lang="en-IN" sz="1400" b="1"/>
        </a:p>
      </xdr:txBody>
    </xdr:sp>
    <xdr:clientData/>
  </xdr:twoCellAnchor>
  <xdr:twoCellAnchor>
    <xdr:from>
      <xdr:col>14</xdr:col>
      <xdr:colOff>745202</xdr:colOff>
      <xdr:row>5</xdr:row>
      <xdr:rowOff>18143</xdr:rowOff>
    </xdr:from>
    <xdr:to>
      <xdr:col>17</xdr:col>
      <xdr:colOff>225398</xdr:colOff>
      <xdr:row>8</xdr:row>
      <xdr:rowOff>18143</xdr:rowOff>
    </xdr:to>
    <xdr:sp macro="" textlink="">
      <xdr:nvSpPr>
        <xdr:cNvPr id="20" name="TextBox 19">
          <a:extLst>
            <a:ext uri="{FF2B5EF4-FFF2-40B4-BE49-F238E27FC236}">
              <a16:creationId xmlns:a16="http://schemas.microsoft.com/office/drawing/2014/main" id="{98486B2F-0650-29FE-D134-B0206FFDE372}"/>
            </a:ext>
          </a:extLst>
        </xdr:cNvPr>
        <xdr:cNvSpPr txBox="1"/>
      </xdr:nvSpPr>
      <xdr:spPr>
        <a:xfrm>
          <a:off x="10877988" y="1143000"/>
          <a:ext cx="1793410" cy="589643"/>
        </a:xfrm>
        <a:prstGeom prst="rect">
          <a:avLst/>
        </a:prstGeom>
        <a:noFill/>
        <a:ln w="381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TOP</a:t>
          </a:r>
          <a:r>
            <a:rPr lang="en-IN" sz="1400" b="1" baseline="0"/>
            <a:t> PRODUCT</a:t>
          </a:r>
        </a:p>
        <a:p>
          <a:pPr algn="ctr"/>
          <a:endParaRPr lang="en-IN" sz="1400" b="1"/>
        </a:p>
      </xdr:txBody>
    </xdr:sp>
    <xdr:clientData/>
  </xdr:twoCellAnchor>
  <xdr:twoCellAnchor>
    <xdr:from>
      <xdr:col>19</xdr:col>
      <xdr:colOff>0</xdr:colOff>
      <xdr:row>5</xdr:row>
      <xdr:rowOff>27214</xdr:rowOff>
    </xdr:from>
    <xdr:to>
      <xdr:col>22</xdr:col>
      <xdr:colOff>0</xdr:colOff>
      <xdr:row>8</xdr:row>
      <xdr:rowOff>27214</xdr:rowOff>
    </xdr:to>
    <xdr:sp macro="" textlink="">
      <xdr:nvSpPr>
        <xdr:cNvPr id="21" name="TextBox 20">
          <a:extLst>
            <a:ext uri="{FF2B5EF4-FFF2-40B4-BE49-F238E27FC236}">
              <a16:creationId xmlns:a16="http://schemas.microsoft.com/office/drawing/2014/main" id="{D8E857D9-3815-45AE-550A-E74AF23875AD}"/>
            </a:ext>
          </a:extLst>
        </xdr:cNvPr>
        <xdr:cNvSpPr txBox="1"/>
      </xdr:nvSpPr>
      <xdr:spPr>
        <a:xfrm>
          <a:off x="16030755" y="1177403"/>
          <a:ext cx="1811547" cy="603849"/>
        </a:xfrm>
        <a:prstGeom prst="rect">
          <a:avLst/>
        </a:prstGeom>
        <a:noFill/>
        <a:ln w="38100"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TOP</a:t>
          </a:r>
          <a:r>
            <a:rPr lang="en-IN" sz="1400" b="1" baseline="0"/>
            <a:t> SALESPERSON</a:t>
          </a:r>
          <a:endParaRPr lang="en-IN" sz="1400" b="1"/>
        </a:p>
      </xdr:txBody>
    </xdr:sp>
    <xdr:clientData/>
  </xdr:twoCellAnchor>
  <xdr:twoCellAnchor>
    <xdr:from>
      <xdr:col>14</xdr:col>
      <xdr:colOff>164982</xdr:colOff>
      <xdr:row>19</xdr:row>
      <xdr:rowOff>139445</xdr:rowOff>
    </xdr:from>
    <xdr:to>
      <xdr:col>16</xdr:col>
      <xdr:colOff>35013</xdr:colOff>
      <xdr:row>22</xdr:row>
      <xdr:rowOff>1909</xdr:rowOff>
    </xdr:to>
    <xdr:sp macro="[0]!ResetFilters" textlink="">
      <xdr:nvSpPr>
        <xdr:cNvPr id="3" name="Rectangle: Rounded Corners 2">
          <a:extLst>
            <a:ext uri="{FF2B5EF4-FFF2-40B4-BE49-F238E27FC236}">
              <a16:creationId xmlns:a16="http://schemas.microsoft.com/office/drawing/2014/main" id="{60B0530F-61DA-EA2C-9CFA-A00B5B23FAC8}"/>
            </a:ext>
          </a:extLst>
        </xdr:cNvPr>
        <xdr:cNvSpPr/>
      </xdr:nvSpPr>
      <xdr:spPr>
        <a:xfrm>
          <a:off x="12951877" y="3849182"/>
          <a:ext cx="1480925" cy="403885"/>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ysClr val="windowText" lastClr="000000"/>
              </a:solidFill>
            </a:rPr>
            <a:t>RESET FILTERS</a:t>
          </a:r>
        </a:p>
      </xdr:txBody>
    </xdr:sp>
    <xdr:clientData/>
  </xdr:twoCellAnchor>
  <xdr:twoCellAnchor>
    <xdr:from>
      <xdr:col>14</xdr:col>
      <xdr:colOff>156962</xdr:colOff>
      <xdr:row>22</xdr:row>
      <xdr:rowOff>158161</xdr:rowOff>
    </xdr:from>
    <xdr:to>
      <xdr:col>16</xdr:col>
      <xdr:colOff>26993</xdr:colOff>
      <xdr:row>26</xdr:row>
      <xdr:rowOff>127000</xdr:rowOff>
    </xdr:to>
    <xdr:sp macro="[0]!Summary_Report" textlink="">
      <xdr:nvSpPr>
        <xdr:cNvPr id="12" name="Rectangle: Rounded Corners 11">
          <a:extLst>
            <a:ext uri="{FF2B5EF4-FFF2-40B4-BE49-F238E27FC236}">
              <a16:creationId xmlns:a16="http://schemas.microsoft.com/office/drawing/2014/main" id="{36B58DD9-E3C4-2E4D-5854-8D8DE72B91BE}"/>
            </a:ext>
          </a:extLst>
        </xdr:cNvPr>
        <xdr:cNvSpPr/>
      </xdr:nvSpPr>
      <xdr:spPr>
        <a:xfrm>
          <a:off x="12943857" y="4409319"/>
          <a:ext cx="1480925" cy="690734"/>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ysClr val="windowText" lastClr="000000"/>
              </a:solidFill>
            </a:rPr>
            <a:t>Summary Report</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smika\Desktop\DA\GMS\EXCEL.xlsx" TargetMode="External"/><Relationship Id="rId1" Type="http://schemas.openxmlformats.org/officeDocument/2006/relationships/externalLinkPath" Target="EXCE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Y 1"/>
      <sheetName val="DAY 2"/>
      <sheetName val="DAY 2.2"/>
      <sheetName val="DAY 3"/>
      <sheetName val="DAY 4"/>
      <sheetName val="DAY 5"/>
      <sheetName val="Formating macro"/>
    </sheetNames>
    <sheetDataSet>
      <sheetData sheetId="0" refreshError="1"/>
      <sheetData sheetId="1" refreshError="1"/>
      <sheetData sheetId="2" refreshError="1"/>
      <sheetData sheetId="3" refreshError="1"/>
      <sheetData sheetId="4" refreshError="1"/>
      <sheetData sheetId="5"/>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mika" refreshedDate="46104.833549305557" createdVersion="8" refreshedVersion="8" minRefreshableVersion="3" recordCount="200" xr:uid="{C03F2FDD-CA8D-423F-9563-6E410DF98623}">
  <cacheSource type="worksheet">
    <worksheetSource name="Table2"/>
  </cacheSource>
  <cacheFields count="12">
    <cacheField name="Date" numFmtId="14">
      <sharedItems count="200">
        <s v="01-01-2024"/>
        <s v="02-01-2024"/>
        <s v="03-01-2024"/>
        <s v="04-01-2024"/>
        <s v="05-01-2024"/>
        <s v="06-01-2024"/>
        <s v="07-01-2024"/>
        <s v="08-01-2024"/>
        <s v="09-01-2024"/>
        <s v="10-01-2024"/>
        <s v="11-01-2024"/>
        <s v="12-01-2024"/>
        <s v="13-01-2024"/>
        <s v="14-01-2024"/>
        <s v="15-01-2024"/>
        <s v="16-01-2024"/>
        <s v="17-01-2024"/>
        <s v="18-01-2024"/>
        <s v="19-01-2024"/>
        <s v="20-01-2024"/>
        <s v="21-01-2024"/>
        <s v="22-01-2024"/>
        <s v="23-01-2024"/>
        <s v="24-01-2024"/>
        <s v="25-01-2024"/>
        <s v="26-01-2024"/>
        <s v="27-01-2024"/>
        <s v="28-01-2024"/>
        <s v="29-01-2024"/>
        <s v="30-01-2024"/>
        <s v="31-01-2024"/>
        <s v="01-02-2024"/>
        <s v="02-02-2024"/>
        <s v="03-02-2024"/>
        <s v="04-02-2024"/>
        <s v="05-02-2024"/>
        <s v="06-02-2024"/>
        <s v="07-02-2024"/>
        <s v="08-02-2024"/>
        <s v="09-02-2024"/>
        <s v="10-02-2024"/>
        <s v="11-02-2024"/>
        <s v="12-02-2024"/>
        <s v="13-02-2024"/>
        <s v="14-02-2024"/>
        <s v="15-02-2024"/>
        <s v="16-02-2024"/>
        <s v="17-02-2024"/>
        <s v="18-02-2024"/>
        <s v="19-02-2024"/>
        <s v="20-02-2024"/>
        <s v="21-02-2024"/>
        <s v="22-02-2024"/>
        <s v="23-02-2024"/>
        <s v="24-02-2024"/>
        <s v="25-02-2024"/>
        <s v="26-02-2024"/>
        <s v="27-02-2024"/>
        <s v="28-02-2024"/>
        <s v="29-02-2024"/>
        <s v="01-03-2024"/>
        <s v="02-03-2024"/>
        <s v="03-03-2024"/>
        <s v="04-03-2024"/>
        <s v="05-03-2024"/>
        <s v="06-03-2024"/>
        <s v="07-03-2024"/>
        <s v="08-03-2024"/>
        <s v="09-03-2024"/>
        <s v="10-03-2024"/>
        <s v="11-03-2024"/>
        <s v="12-03-2024"/>
        <s v="13-03-2024"/>
        <s v="14-03-2024"/>
        <s v="15-03-2024"/>
        <s v="16-03-2024"/>
        <s v="17-03-2024"/>
        <s v="18-03-2024"/>
        <s v="19-03-2024"/>
        <s v="20-03-2024"/>
        <s v="21-03-2024"/>
        <s v="22-03-2024"/>
        <s v="23-03-2024"/>
        <s v="24-03-2024"/>
        <s v="25-03-2024"/>
        <s v="26-03-2024"/>
        <s v="27-03-2024"/>
        <s v="28-03-2024"/>
        <s v="29-03-2024"/>
        <s v="30-03-2024"/>
        <s v="31-03-2024"/>
        <s v="01-04-2024"/>
        <s v="02-04-2024"/>
        <s v="03-04-2024"/>
        <s v="04-04-2024"/>
        <s v="05-04-2024"/>
        <s v="06-04-2024"/>
        <s v="07-04-2024"/>
        <s v="08-04-2024"/>
        <s v="09-04-2024"/>
        <s v="10-04-2024"/>
        <s v="11-04-2024"/>
        <s v="12-04-2024"/>
        <s v="13-04-2024"/>
        <s v="14-04-2024"/>
        <s v="15-04-2024"/>
        <s v="16-04-2024"/>
        <s v="17-04-2024"/>
        <s v="18-04-2024"/>
        <s v="19-04-2024"/>
        <s v="20-04-2024"/>
        <s v="21-04-2024"/>
        <s v="22-04-2024"/>
        <s v="23-04-2024"/>
        <s v="24-04-2024"/>
        <s v="25-04-2024"/>
        <s v="26-04-2024"/>
        <s v="27-04-2024"/>
        <s v="28-04-2024"/>
        <s v="29-04-2024"/>
        <s v="30-04-2024"/>
        <s v="01-05-2024"/>
        <s v="02-05-2024"/>
        <s v="03-05-2024"/>
        <s v="04-05-2024"/>
        <s v="05-05-2024"/>
        <s v="06-05-2024"/>
        <s v="07-05-2024"/>
        <s v="08-05-2024"/>
        <s v="09-05-2024"/>
        <s v="10-05-2024"/>
        <s v="11-05-2024"/>
        <s v="12-05-2024"/>
        <s v="13-05-2024"/>
        <s v="14-05-2024"/>
        <s v="15-05-2024"/>
        <s v="16-05-2024"/>
        <s v="17-05-2024"/>
        <s v="18-05-2024"/>
        <s v="19-05-2024"/>
        <s v="20-05-2024"/>
        <s v="21-05-2024"/>
        <s v="22-05-2024"/>
        <s v="23-05-2024"/>
        <s v="24-05-2024"/>
        <s v="25-05-2024"/>
        <s v="26-05-2024"/>
        <s v="27-05-2024"/>
        <s v="28-05-2024"/>
        <s v="29-05-2024"/>
        <s v="30-05-2024"/>
        <s v="31-05-2024"/>
        <s v="01-06-2024"/>
        <s v="02-06-2024"/>
        <s v="03-06-2024"/>
        <s v="04-06-2024"/>
        <s v="05-06-2024"/>
        <s v="06-06-2024"/>
        <s v="07-06-2024"/>
        <s v="08-06-2024"/>
        <s v="09-06-2024"/>
        <s v="10-06-2024"/>
        <s v="11-06-2024"/>
        <s v="12-06-2024"/>
        <s v="13-06-2024"/>
        <s v="14-06-2024"/>
        <s v="15-06-2024"/>
        <s v="16-06-2024"/>
        <s v="17-06-2024"/>
        <s v="18-06-2024"/>
        <s v="19-06-2024"/>
        <s v="20-06-2024"/>
        <s v="21-06-2024"/>
        <s v="22-06-2024"/>
        <s v="23-06-2024"/>
        <s v="24-06-2024"/>
        <s v="25-06-2024"/>
        <s v="26-06-2024"/>
        <s v="27-06-2024"/>
        <s v="28-06-2024"/>
        <s v="29-06-2024"/>
        <s v="30-06-2024"/>
        <s v="01-07-2024"/>
        <s v="02-07-2024"/>
        <s v="03-07-2024"/>
        <s v="04-07-2024"/>
        <s v="05-07-2024"/>
        <s v="06-07-2024"/>
        <s v="07-07-2024"/>
        <s v="08-07-2024"/>
        <s v="09-07-2024"/>
        <s v="10-07-2024"/>
        <s v="11-07-2024"/>
        <s v="12-07-2024"/>
        <s v="13-07-2024"/>
        <s v="14-07-2024"/>
        <s v="15-07-2024"/>
        <s v="16-07-2024"/>
        <s v="17-07-2024"/>
        <s v="18-07-2024"/>
      </sharedItems>
    </cacheField>
    <cacheField name="Month" numFmtId="14">
      <sharedItems count="7">
        <s v="January"/>
        <s v="February"/>
        <s v="March"/>
        <s v="April"/>
        <s v="May"/>
        <s v="June"/>
        <s v="July"/>
      </sharedItems>
    </cacheField>
    <cacheField name="Region" numFmtId="0">
      <sharedItems/>
    </cacheField>
    <cacheField name="Category" numFmtId="0">
      <sharedItems/>
    </cacheField>
    <cacheField name="Product" numFmtId="0">
      <sharedItems/>
    </cacheField>
    <cacheField name="SalesPerson" numFmtId="0">
      <sharedItems/>
    </cacheField>
    <cacheField name="Quantity" numFmtId="0">
      <sharedItems containsSemiMixedTypes="0" containsString="0" containsNumber="1" containsInteger="1" minValue="5" maxValue="15"/>
    </cacheField>
    <cacheField name="Price" numFmtId="0">
      <sharedItems containsSemiMixedTypes="0" containsString="0" containsNumber="1" containsInteger="1" minValue="20" maxValue="60"/>
    </cacheField>
    <cacheField name="Sales" numFmtId="0">
      <sharedItems containsSemiMixedTypes="0" containsString="0" containsNumber="1" containsInteger="1" minValue="100" maxValue="900"/>
    </cacheField>
    <cacheField name="Target" numFmtId="0">
      <sharedItems containsSemiMixedTypes="0" containsString="0" containsNumber="1" containsInteger="1" minValue="400" maxValue="400"/>
    </cacheField>
    <cacheField name="Target Hit %" numFmtId="10">
      <sharedItems containsSemiMixedTypes="0" containsString="0" containsNumber="1" minValue="0.25" maxValue="2.25"/>
    </cacheField>
    <cacheField name="Away  from Target%" numFmtId="10">
      <sharedItems containsSemiMixedTypes="0" containsString="0" containsNumber="1" minValue="-0.75" maxValue="1.25"/>
    </cacheField>
  </cacheFields>
  <extLst>
    <ext xmlns:x14="http://schemas.microsoft.com/office/spreadsheetml/2009/9/main" uri="{725AE2AE-9491-48be-B2B4-4EB974FC3084}">
      <x14:pivotCacheDefinition pivotCacheId="202418486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ika" refreshedDate="46105.544453587965" backgroundQuery="1" createdVersion="8" refreshedVersion="8" minRefreshableVersion="3" recordCount="0" supportSubquery="1" supportAdvancedDrill="1" xr:uid="{D893EF8D-92D7-47DF-9D85-9E5CE0C34791}">
  <cacheSource type="external" connectionId="1"/>
  <cacheFields count="2">
    <cacheField name="[Measures].[Sum of Away  from Target%]" caption="Sum of Away  from Target%" numFmtId="0" hierarchy="28" level="32767"/>
    <cacheField name="[SalesTable].[SalesPerson].[SalesPerson]" caption="SalesPerson" numFmtId="0" hierarchy="4" level="1">
      <sharedItems count="4">
        <s v="Amit"/>
        <s v="Neha"/>
        <s v="Priya"/>
        <s v="Raj"/>
      </sharedItems>
    </cacheField>
  </cacheFields>
  <cacheHierarchies count="31">
    <cacheHierarchy uniqueName="[SalesTable].[Date]" caption="Date" attribute="1" defaultMemberUniqueName="[SalesTable].[Date].[All]" allUniqueName="[SalesTable].[Date].[All]" dimensionUniqueName="[SalesTable]" displayFolder="" count="0" memberValueDatatype="130" unbalanced="0"/>
    <cacheHierarchy uniqueName="[SalesTable].[Region]" caption="Region" attribute="1" defaultMemberUniqueName="[SalesTable].[Region].[All]" allUniqueName="[SalesTable].[Region].[All]" dimensionUniqueName="[SalesTable]" displayFolder="" count="2" memberValueDatatype="130" unbalanced="0"/>
    <cacheHierarchy uniqueName="[SalesTable].[Category]" caption="Category" attribute="1" defaultMemberUniqueName="[SalesTable].[Category].[All]" allUniqueName="[SalesTable].[Category].[All]" dimensionUniqueName="[SalesTable]" displayFolder="" count="2" memberValueDatatype="130" unbalanced="0"/>
    <cacheHierarchy uniqueName="[SalesTable].[Product]" caption="Product" attribute="1" defaultMemberUniqueName="[SalesTable].[Product].[All]" allUniqueName="[SalesTable].[Product].[All]" dimensionUniqueName="[SalesTable]" displayFolder="" count="0" memberValueDatatype="130" unbalanced="0"/>
    <cacheHierarchy uniqueName="[SalesTable].[SalesPerson]" caption="SalesPerson" attribute="1" defaultMemberUniqueName="[SalesTable].[SalesPerson].[All]" allUniqueName="[SalesTable].[SalesPerson].[All]" dimensionUniqueName="[SalesTable]" displayFolder="" count="2" memberValueDatatype="130" unbalanced="0">
      <fieldsUsage count="2">
        <fieldUsage x="-1"/>
        <fieldUsage x="1"/>
      </fieldsUsage>
    </cacheHierarchy>
    <cacheHierarchy uniqueName="[SalesTable].[Quantity]" caption="Quantity" attribute="1" defaultMemberUniqueName="[SalesTable].[Quantity].[All]" allUniqueName="[SalesTable].[Quantity].[All]" dimensionUniqueName="[SalesTable]" displayFolder="" count="0" memberValueDatatype="20" unbalanced="0"/>
    <cacheHierarchy uniqueName="[SalesTable].[Price]" caption="Price" attribute="1" defaultMemberUniqueName="[SalesTable].[Price].[All]" allUniqueName="[SalesTable].[Price].[All]" dimensionUniqueName="[SalesTable]" displayFolder="" count="0" memberValueDatatype="20" unbalanced="0"/>
    <cacheHierarchy uniqueName="[SalesTable].[Sales]" caption="Sales" attribute="1" defaultMemberUniqueName="[SalesTable].[Sales].[All]" allUniqueName="[SalesTable].[Sales].[All]" dimensionUniqueName="[SalesTable]" displayFolder="" count="0" memberValueDatatype="20" unbalanced="0"/>
    <cacheHierarchy uniqueName="[SalesTable].[Target]" caption="Target" attribute="1" defaultMemberUniqueName="[SalesTable].[Target].[All]" allUniqueName="[SalesTable].[Target].[All]" dimensionUniqueName="[SalesTable]" displayFolder="" count="0" memberValueDatatype="20" unbalanced="0"/>
    <cacheHierarchy uniqueName="[SalesTable].[Target Hit %]" caption="Target Hit %" attribute="1" defaultMemberUniqueName="[SalesTable].[Target Hit %].[All]" allUniqueName="[SalesTable].[Target Hit %].[All]" dimensionUniqueName="[SalesTable]" displayFolder="" count="0" memberValueDatatype="5" unbalanced="0"/>
    <cacheHierarchy uniqueName="[SalesTable].[Away  from Target%]" caption="Away  from Target%" attribute="1" defaultMemberUniqueName="[SalesTable].[Away  from Target%].[All]" allUniqueName="[SalesTable].[Away  from Target%].[All]" dimensionUniqueName="[SalesTable]" displayFolder="" count="0" memberValueDatatype="5" unbalanced="0"/>
    <cacheHierarchy uniqueName="[Table2].[Date]" caption="Date" attribute="1" defaultMemberUniqueName="[Table2].[Date].[All]" allUniqueName="[Table2].[Date].[All]" dimensionUniqueName="[Table2]" displayFolder="" count="0" memberValueDatatype="130" unbalanced="0"/>
    <cacheHierarchy uniqueName="[Table2].[Month]" caption="Month" attribute="1" defaultMemberUniqueName="[Table2].[Month].[All]" allUniqueName="[Table2].[Month].[All]" dimensionUniqueName="[Table2]" displayFolder="" count="2" memberValueDatatype="130" unbalanced="0"/>
    <cacheHierarchy uniqueName="[Table2].[Region]" caption="Region" attribute="1" defaultMemberUniqueName="[Table2].[Region].[All]" allUniqueName="[Table2].[Region].[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Product]" caption="Product" attribute="1" defaultMemberUniqueName="[Table2].[Product].[All]" allUniqueName="[Table2].[Product].[All]" dimensionUniqueName="[Table2]" displayFolder="" count="0" memberValueDatatype="130" unbalanced="0"/>
    <cacheHierarchy uniqueName="[Table2].[SalesPerson]" caption="SalesPerson" attribute="1" defaultMemberUniqueName="[Table2].[SalesPerson].[All]" allUniqueName="[Table2].[SalesPerson].[All]" dimensionUniqueName="[Table2]" displayFolder="" count="0" memberValueDatatype="130" unbalanced="0"/>
    <cacheHierarchy uniqueName="[Table2].[Quantity]" caption="Quantity" attribute="1" defaultMemberUniqueName="[Table2].[Quantity].[All]" allUniqueName="[Table2].[Quantity].[All]" dimensionUniqueName="[Table2]" displayFolder="" count="0" memberValueDatatype="20" unbalanced="0"/>
    <cacheHierarchy uniqueName="[Table2].[Price]" caption="Price" attribute="1" defaultMemberUniqueName="[Table2].[Price].[All]" allUniqueName="[Table2].[Price].[All]" dimensionUniqueName="[Table2]" displayFolder="" count="0" memberValueDatatype="20" unbalanced="0"/>
    <cacheHierarchy uniqueName="[Table2].[Sales]" caption="Sales" attribute="1" defaultMemberUniqueName="[Table2].[Sales].[All]" allUniqueName="[Table2].[Sales].[All]" dimensionUniqueName="[Table2]" displayFolder="" count="0" memberValueDatatype="20" unbalanced="0"/>
    <cacheHierarchy uniqueName="[Table2].[Target]" caption="Target" attribute="1" defaultMemberUniqueName="[Table2].[Target].[All]" allUniqueName="[Table2].[Target].[All]" dimensionUniqueName="[Table2]" displayFolder="" count="0" memberValueDatatype="20" unbalanced="0"/>
    <cacheHierarchy uniqueName="[Table2].[Target Hit %]" caption="Target Hit %" attribute="1" defaultMemberUniqueName="[Table2].[Target Hit %].[All]" allUniqueName="[Table2].[Target Hit %].[All]" dimensionUniqueName="[Table2]" displayFolder="" count="0" memberValueDatatype="5" unbalanced="0"/>
    <cacheHierarchy uniqueName="[Table2].[Away  from Target%]" caption="Away  from Target%" attribute="1" defaultMemberUniqueName="[Table2].[Away  from Target%].[All]" allUniqueName="[Table2].[Away  from Target%].[All]" dimensionUniqueName="[Table2]" displayFolder="" count="0" memberValueDatatype="5" unbalanced="0"/>
    <cacheHierarchy uniqueName="[Measures].[__XL_Count SalesTable]" caption="__XL_Count SalesTable" measure="1" displayFolder="" measureGroup="SalesTable"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arget Hit %]" caption="Sum of Target Hit %" measure="1" displayFolder="" measureGroup="SalesTable" count="0" hidden="1">
      <extLst>
        <ext xmlns:x15="http://schemas.microsoft.com/office/spreadsheetml/2010/11/main" uri="{B97F6D7D-B522-45F9-BDA1-12C45D357490}">
          <x15:cacheHierarchy aggregatedColumn="9"/>
        </ext>
      </extLst>
    </cacheHierarchy>
    <cacheHierarchy uniqueName="[Measures].[Sum of Sales]" caption="Sum of Sales" measure="1" displayFolder="" measureGroup="SalesTable" count="0" hidden="1">
      <extLst>
        <ext xmlns:x15="http://schemas.microsoft.com/office/spreadsheetml/2010/11/main" uri="{B97F6D7D-B522-45F9-BDA1-12C45D357490}">
          <x15:cacheHierarchy aggregatedColumn="7"/>
        </ext>
      </extLst>
    </cacheHierarchy>
    <cacheHierarchy uniqueName="[Measures].[Sum of Away  from Target%]" caption="Sum of Away  from Target%" measure="1" displayFolder="" measureGroup="SalesTable"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Quantity]" caption="Sum of Quantity" measure="1" displayFolder="" measureGroup="SalesTable"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SalesTable" uniqueName="[SalesTable]" caption="SalesTable"/>
    <dimension name="Table2" uniqueName="[Table2]" caption="Table2"/>
  </dimensions>
  <measureGroups count="2">
    <measureGroup name="SalesTable" caption="SalesTable"/>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ika" refreshedDate="46105.544454166666" backgroundQuery="1" createdVersion="8" refreshedVersion="8" minRefreshableVersion="3" recordCount="0" supportSubquery="1" supportAdvancedDrill="1" xr:uid="{BA58A4F4-ECEC-4D03-9301-A1E8AE7DB531}">
  <cacheSource type="external" connectionId="1"/>
  <cacheFields count="3">
    <cacheField name="[SalesTable].[Category].[Category]" caption="Category" numFmtId="0" hierarchy="2" level="1">
      <sharedItems count="3">
        <s v="Beverages"/>
        <s v="Dairy"/>
        <s v="Snacks"/>
      </sharedItems>
    </cacheField>
    <cacheField name="[SalesTable].[Region].[Region]" caption="Region" numFmtId="0" hierarchy="1" level="1">
      <sharedItems count="4">
        <s v="East"/>
        <s v="North"/>
        <s v="South"/>
        <s v="West"/>
      </sharedItems>
    </cacheField>
    <cacheField name="[Measures].[Sum of Sales]" caption="Sum of Sales" numFmtId="0" hierarchy="27" level="32767"/>
  </cacheFields>
  <cacheHierarchies count="31">
    <cacheHierarchy uniqueName="[SalesTable].[Date]" caption="Date" attribute="1" defaultMemberUniqueName="[SalesTable].[Date].[All]" allUniqueName="[SalesTable].[Date].[All]" dimensionUniqueName="[SalesTable]" displayFolder="" count="0" memberValueDatatype="130" unbalanced="0"/>
    <cacheHierarchy uniqueName="[SalesTable].[Region]" caption="Region" attribute="1" defaultMemberUniqueName="[SalesTable].[Region].[All]" allUniqueName="[SalesTable].[Region].[All]" dimensionUniqueName="[SalesTable]" displayFolder="" count="2" memberValueDatatype="130" unbalanced="0">
      <fieldsUsage count="2">
        <fieldUsage x="-1"/>
        <fieldUsage x="1"/>
      </fieldsUsage>
    </cacheHierarchy>
    <cacheHierarchy uniqueName="[SalesTable].[Category]" caption="Category" attribute="1" defaultMemberUniqueName="[SalesTable].[Category].[All]" allUniqueName="[SalesTable].[Category].[All]" dimensionUniqueName="[SalesTable]" displayFolder="" count="2" memberValueDatatype="130" unbalanced="0">
      <fieldsUsage count="2">
        <fieldUsage x="-1"/>
        <fieldUsage x="0"/>
      </fieldsUsage>
    </cacheHierarchy>
    <cacheHierarchy uniqueName="[SalesTable].[Product]" caption="Product" attribute="1" defaultMemberUniqueName="[SalesTable].[Product].[All]" allUniqueName="[SalesTable].[Product].[All]" dimensionUniqueName="[SalesTable]" displayFolder="" count="0" memberValueDatatype="130" unbalanced="0"/>
    <cacheHierarchy uniqueName="[SalesTable].[SalesPerson]" caption="SalesPerson" attribute="1" defaultMemberUniqueName="[SalesTable].[SalesPerson].[All]" allUniqueName="[SalesTable].[SalesPerson].[All]" dimensionUniqueName="[SalesTable]" displayFolder="" count="2" memberValueDatatype="130" unbalanced="0"/>
    <cacheHierarchy uniqueName="[SalesTable].[Quantity]" caption="Quantity" attribute="1" defaultMemberUniqueName="[SalesTable].[Quantity].[All]" allUniqueName="[SalesTable].[Quantity].[All]" dimensionUniqueName="[SalesTable]" displayFolder="" count="0" memberValueDatatype="20" unbalanced="0"/>
    <cacheHierarchy uniqueName="[SalesTable].[Price]" caption="Price" attribute="1" defaultMemberUniqueName="[SalesTable].[Price].[All]" allUniqueName="[SalesTable].[Price].[All]" dimensionUniqueName="[SalesTable]" displayFolder="" count="0" memberValueDatatype="20" unbalanced="0"/>
    <cacheHierarchy uniqueName="[SalesTable].[Sales]" caption="Sales" attribute="1" defaultMemberUniqueName="[SalesTable].[Sales].[All]" allUniqueName="[SalesTable].[Sales].[All]" dimensionUniqueName="[SalesTable]" displayFolder="" count="0" memberValueDatatype="20" unbalanced="0"/>
    <cacheHierarchy uniqueName="[SalesTable].[Target]" caption="Target" attribute="1" defaultMemberUniqueName="[SalesTable].[Target].[All]" allUniqueName="[SalesTable].[Target].[All]" dimensionUniqueName="[SalesTable]" displayFolder="" count="0" memberValueDatatype="20" unbalanced="0"/>
    <cacheHierarchy uniqueName="[SalesTable].[Target Hit %]" caption="Target Hit %" attribute="1" defaultMemberUniqueName="[SalesTable].[Target Hit %].[All]" allUniqueName="[SalesTable].[Target Hit %].[All]" dimensionUniqueName="[SalesTable]" displayFolder="" count="0" memberValueDatatype="5" unbalanced="0"/>
    <cacheHierarchy uniqueName="[SalesTable].[Away  from Target%]" caption="Away  from Target%" attribute="1" defaultMemberUniqueName="[SalesTable].[Away  from Target%].[All]" allUniqueName="[SalesTable].[Away  from Target%].[All]" dimensionUniqueName="[SalesTable]" displayFolder="" count="0" memberValueDatatype="5" unbalanced="0"/>
    <cacheHierarchy uniqueName="[Table2].[Date]" caption="Date" attribute="1" defaultMemberUniqueName="[Table2].[Date].[All]" allUniqueName="[Table2].[Date].[All]" dimensionUniqueName="[Table2]" displayFolder="" count="0" memberValueDatatype="130" unbalanced="0"/>
    <cacheHierarchy uniqueName="[Table2].[Month]" caption="Month" attribute="1" defaultMemberUniqueName="[Table2].[Month].[All]" allUniqueName="[Table2].[Month].[All]" dimensionUniqueName="[Table2]" displayFolder="" count="2" memberValueDatatype="130" unbalanced="0"/>
    <cacheHierarchy uniqueName="[Table2].[Region]" caption="Region" attribute="1" defaultMemberUniqueName="[Table2].[Region].[All]" allUniqueName="[Table2].[Region].[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Product]" caption="Product" attribute="1" defaultMemberUniqueName="[Table2].[Product].[All]" allUniqueName="[Table2].[Product].[All]" dimensionUniqueName="[Table2]" displayFolder="" count="0" memberValueDatatype="130" unbalanced="0"/>
    <cacheHierarchy uniqueName="[Table2].[SalesPerson]" caption="SalesPerson" attribute="1" defaultMemberUniqueName="[Table2].[SalesPerson].[All]" allUniqueName="[Table2].[SalesPerson].[All]" dimensionUniqueName="[Table2]" displayFolder="" count="0" memberValueDatatype="130" unbalanced="0"/>
    <cacheHierarchy uniqueName="[Table2].[Quantity]" caption="Quantity" attribute="1" defaultMemberUniqueName="[Table2].[Quantity].[All]" allUniqueName="[Table2].[Quantity].[All]" dimensionUniqueName="[Table2]" displayFolder="" count="0" memberValueDatatype="20" unbalanced="0"/>
    <cacheHierarchy uniqueName="[Table2].[Price]" caption="Price" attribute="1" defaultMemberUniqueName="[Table2].[Price].[All]" allUniqueName="[Table2].[Price].[All]" dimensionUniqueName="[Table2]" displayFolder="" count="0" memberValueDatatype="20" unbalanced="0"/>
    <cacheHierarchy uniqueName="[Table2].[Sales]" caption="Sales" attribute="1" defaultMemberUniqueName="[Table2].[Sales].[All]" allUniqueName="[Table2].[Sales].[All]" dimensionUniqueName="[Table2]" displayFolder="" count="0" memberValueDatatype="20" unbalanced="0"/>
    <cacheHierarchy uniqueName="[Table2].[Target]" caption="Target" attribute="1" defaultMemberUniqueName="[Table2].[Target].[All]" allUniqueName="[Table2].[Target].[All]" dimensionUniqueName="[Table2]" displayFolder="" count="0" memberValueDatatype="20" unbalanced="0"/>
    <cacheHierarchy uniqueName="[Table2].[Target Hit %]" caption="Target Hit %" attribute="1" defaultMemberUniqueName="[Table2].[Target Hit %].[All]" allUniqueName="[Table2].[Target Hit %].[All]" dimensionUniqueName="[Table2]" displayFolder="" count="0" memberValueDatatype="5" unbalanced="0"/>
    <cacheHierarchy uniqueName="[Table2].[Away  from Target%]" caption="Away  from Target%" attribute="1" defaultMemberUniqueName="[Table2].[Away  from Target%].[All]" allUniqueName="[Table2].[Away  from Target%].[All]" dimensionUniqueName="[Table2]" displayFolder="" count="0" memberValueDatatype="5" unbalanced="0"/>
    <cacheHierarchy uniqueName="[Measures].[__XL_Count SalesTable]" caption="__XL_Count SalesTable" measure="1" displayFolder="" measureGroup="SalesTable"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arget Hit %]" caption="Sum of Target Hit %" measure="1" displayFolder="" measureGroup="SalesTable" count="0" hidden="1">
      <extLst>
        <ext xmlns:x15="http://schemas.microsoft.com/office/spreadsheetml/2010/11/main" uri="{B97F6D7D-B522-45F9-BDA1-12C45D357490}">
          <x15:cacheHierarchy aggregatedColumn="9"/>
        </ext>
      </extLst>
    </cacheHierarchy>
    <cacheHierarchy uniqueName="[Measures].[Sum of Sales]" caption="Sum of Sales" measure="1" displayFolder="" measureGroup="SalesTable" count="0" oneField="1" hidden="1">
      <fieldsUsage count="1">
        <fieldUsage x="2"/>
      </fieldsUsage>
      <extLst>
        <ext xmlns:x15="http://schemas.microsoft.com/office/spreadsheetml/2010/11/main" uri="{B97F6D7D-B522-45F9-BDA1-12C45D357490}">
          <x15:cacheHierarchy aggregatedColumn="7"/>
        </ext>
      </extLst>
    </cacheHierarchy>
    <cacheHierarchy uniqueName="[Measures].[Sum of Away  from Target%]" caption="Sum of Away  from Target%" measure="1" displayFolder="" measureGroup="SalesTable" count="0" hidden="1">
      <extLst>
        <ext xmlns:x15="http://schemas.microsoft.com/office/spreadsheetml/2010/11/main" uri="{B97F6D7D-B522-45F9-BDA1-12C45D357490}">
          <x15:cacheHierarchy aggregatedColumn="10"/>
        </ext>
      </extLst>
    </cacheHierarchy>
    <cacheHierarchy uniqueName="[Measures].[Sum of Quantity]" caption="Sum of Quantity" measure="1" displayFolder="" measureGroup="SalesTable"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SalesTable" uniqueName="[SalesTable]" caption="SalesTable"/>
    <dimension name="Table2" uniqueName="[Table2]" caption="Table2"/>
  </dimensions>
  <measureGroups count="2">
    <measureGroup name="SalesTable" caption="SalesTable"/>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ika" refreshedDate="46105.544455324074" backgroundQuery="1" createdVersion="8" refreshedVersion="8" minRefreshableVersion="3" recordCount="0" supportSubquery="1" supportAdvancedDrill="1" xr:uid="{347A7B92-0793-4C93-A57F-F0AC2BFEB059}">
  <cacheSource type="external" connectionId="1"/>
  <cacheFields count="2">
    <cacheField name="[SalesTable].[Region].[Region]" caption="Region" numFmtId="0" hierarchy="1" level="1">
      <sharedItems count="4">
        <s v="East"/>
        <s v="North"/>
        <s v="South"/>
        <s v="West"/>
      </sharedItems>
    </cacheField>
    <cacheField name="[Measures].[Sum of Sales]" caption="Sum of Sales" numFmtId="0" hierarchy="27" level="32767"/>
  </cacheFields>
  <cacheHierarchies count="31">
    <cacheHierarchy uniqueName="[SalesTable].[Date]" caption="Date" attribute="1" defaultMemberUniqueName="[SalesTable].[Date].[All]" allUniqueName="[SalesTable].[Date].[All]" dimensionUniqueName="[SalesTable]" displayFolder="" count="0" memberValueDatatype="130" unbalanced="0"/>
    <cacheHierarchy uniqueName="[SalesTable].[Region]" caption="Region" attribute="1" defaultMemberUniqueName="[SalesTable].[Region].[All]" allUniqueName="[SalesTable].[Region].[All]" dimensionUniqueName="[SalesTable]" displayFolder="" count="2" memberValueDatatype="130" unbalanced="0">
      <fieldsUsage count="2">
        <fieldUsage x="-1"/>
        <fieldUsage x="0"/>
      </fieldsUsage>
    </cacheHierarchy>
    <cacheHierarchy uniqueName="[SalesTable].[Category]" caption="Category" attribute="1" defaultMemberUniqueName="[SalesTable].[Category].[All]" allUniqueName="[SalesTable].[Category].[All]" dimensionUniqueName="[SalesTable]" displayFolder="" count="2" memberValueDatatype="130" unbalanced="0"/>
    <cacheHierarchy uniqueName="[SalesTable].[Product]" caption="Product" attribute="1" defaultMemberUniqueName="[SalesTable].[Product].[All]" allUniqueName="[SalesTable].[Product].[All]" dimensionUniqueName="[SalesTable]" displayFolder="" count="0" memberValueDatatype="130" unbalanced="0"/>
    <cacheHierarchy uniqueName="[SalesTable].[SalesPerson]" caption="SalesPerson" attribute="1" defaultMemberUniqueName="[SalesTable].[SalesPerson].[All]" allUniqueName="[SalesTable].[SalesPerson].[All]" dimensionUniqueName="[SalesTable]" displayFolder="" count="2" memberValueDatatype="130" unbalanced="0"/>
    <cacheHierarchy uniqueName="[SalesTable].[Quantity]" caption="Quantity" attribute="1" defaultMemberUniqueName="[SalesTable].[Quantity].[All]" allUniqueName="[SalesTable].[Quantity].[All]" dimensionUniqueName="[SalesTable]" displayFolder="" count="0" memberValueDatatype="20" unbalanced="0"/>
    <cacheHierarchy uniqueName="[SalesTable].[Price]" caption="Price" attribute="1" defaultMemberUniqueName="[SalesTable].[Price].[All]" allUniqueName="[SalesTable].[Price].[All]" dimensionUniqueName="[SalesTable]" displayFolder="" count="0" memberValueDatatype="20" unbalanced="0"/>
    <cacheHierarchy uniqueName="[SalesTable].[Sales]" caption="Sales" attribute="1" defaultMemberUniqueName="[SalesTable].[Sales].[All]" allUniqueName="[SalesTable].[Sales].[All]" dimensionUniqueName="[SalesTable]" displayFolder="" count="0" memberValueDatatype="20" unbalanced="0"/>
    <cacheHierarchy uniqueName="[SalesTable].[Target]" caption="Target" attribute="1" defaultMemberUniqueName="[SalesTable].[Target].[All]" allUniqueName="[SalesTable].[Target].[All]" dimensionUniqueName="[SalesTable]" displayFolder="" count="0" memberValueDatatype="20" unbalanced="0"/>
    <cacheHierarchy uniqueName="[SalesTable].[Target Hit %]" caption="Target Hit %" attribute="1" defaultMemberUniqueName="[SalesTable].[Target Hit %].[All]" allUniqueName="[SalesTable].[Target Hit %].[All]" dimensionUniqueName="[SalesTable]" displayFolder="" count="0" memberValueDatatype="5" unbalanced="0"/>
    <cacheHierarchy uniqueName="[SalesTable].[Away  from Target%]" caption="Away  from Target%" attribute="1" defaultMemberUniqueName="[SalesTable].[Away  from Target%].[All]" allUniqueName="[SalesTable].[Away  from Target%].[All]" dimensionUniqueName="[SalesTable]" displayFolder="" count="0" memberValueDatatype="5" unbalanced="0"/>
    <cacheHierarchy uniqueName="[Table2].[Date]" caption="Date" attribute="1" defaultMemberUniqueName="[Table2].[Date].[All]" allUniqueName="[Table2].[Date].[All]" dimensionUniqueName="[Table2]" displayFolder="" count="0" memberValueDatatype="130" unbalanced="0"/>
    <cacheHierarchy uniqueName="[Table2].[Month]" caption="Month" attribute="1" defaultMemberUniqueName="[Table2].[Month].[All]" allUniqueName="[Table2].[Month].[All]" dimensionUniqueName="[Table2]" displayFolder="" count="2" memberValueDatatype="130" unbalanced="0"/>
    <cacheHierarchy uniqueName="[Table2].[Region]" caption="Region" attribute="1" defaultMemberUniqueName="[Table2].[Region].[All]" allUniqueName="[Table2].[Region].[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Product]" caption="Product" attribute="1" defaultMemberUniqueName="[Table2].[Product].[All]" allUniqueName="[Table2].[Product].[All]" dimensionUniqueName="[Table2]" displayFolder="" count="0" memberValueDatatype="130" unbalanced="0"/>
    <cacheHierarchy uniqueName="[Table2].[SalesPerson]" caption="SalesPerson" attribute="1" defaultMemberUniqueName="[Table2].[SalesPerson].[All]" allUniqueName="[Table2].[SalesPerson].[All]" dimensionUniqueName="[Table2]" displayFolder="" count="0" memberValueDatatype="130" unbalanced="0"/>
    <cacheHierarchy uniqueName="[Table2].[Quantity]" caption="Quantity" attribute="1" defaultMemberUniqueName="[Table2].[Quantity].[All]" allUniqueName="[Table2].[Quantity].[All]" dimensionUniqueName="[Table2]" displayFolder="" count="0" memberValueDatatype="20" unbalanced="0"/>
    <cacheHierarchy uniqueName="[Table2].[Price]" caption="Price" attribute="1" defaultMemberUniqueName="[Table2].[Price].[All]" allUniqueName="[Table2].[Price].[All]" dimensionUniqueName="[Table2]" displayFolder="" count="0" memberValueDatatype="20" unbalanced="0"/>
    <cacheHierarchy uniqueName="[Table2].[Sales]" caption="Sales" attribute="1" defaultMemberUniqueName="[Table2].[Sales].[All]" allUniqueName="[Table2].[Sales].[All]" dimensionUniqueName="[Table2]" displayFolder="" count="0" memberValueDatatype="20" unbalanced="0"/>
    <cacheHierarchy uniqueName="[Table2].[Target]" caption="Target" attribute="1" defaultMemberUniqueName="[Table2].[Target].[All]" allUniqueName="[Table2].[Target].[All]" dimensionUniqueName="[Table2]" displayFolder="" count="0" memberValueDatatype="20" unbalanced="0"/>
    <cacheHierarchy uniqueName="[Table2].[Target Hit %]" caption="Target Hit %" attribute="1" defaultMemberUniqueName="[Table2].[Target Hit %].[All]" allUniqueName="[Table2].[Target Hit %].[All]" dimensionUniqueName="[Table2]" displayFolder="" count="0" memberValueDatatype="5" unbalanced="0"/>
    <cacheHierarchy uniqueName="[Table2].[Away  from Target%]" caption="Away  from Target%" attribute="1" defaultMemberUniqueName="[Table2].[Away  from Target%].[All]" allUniqueName="[Table2].[Away  from Target%].[All]" dimensionUniqueName="[Table2]" displayFolder="" count="0" memberValueDatatype="5" unbalanced="0"/>
    <cacheHierarchy uniqueName="[Measures].[__XL_Count SalesTable]" caption="__XL_Count SalesTable" measure="1" displayFolder="" measureGroup="SalesTable"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arget Hit %]" caption="Sum of Target Hit %" measure="1" displayFolder="" measureGroup="SalesTable" count="0" hidden="1">
      <extLst>
        <ext xmlns:x15="http://schemas.microsoft.com/office/spreadsheetml/2010/11/main" uri="{B97F6D7D-B522-45F9-BDA1-12C45D357490}">
          <x15:cacheHierarchy aggregatedColumn="9"/>
        </ext>
      </extLst>
    </cacheHierarchy>
    <cacheHierarchy uniqueName="[Measures].[Sum of Sales]" caption="Sum of Sales" measure="1" displayFolder="" measureGroup="SalesTable"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Away  from Target%]" caption="Sum of Away  from Target%" measure="1" displayFolder="" measureGroup="SalesTable" count="0" hidden="1">
      <extLst>
        <ext xmlns:x15="http://schemas.microsoft.com/office/spreadsheetml/2010/11/main" uri="{B97F6D7D-B522-45F9-BDA1-12C45D357490}">
          <x15:cacheHierarchy aggregatedColumn="10"/>
        </ext>
      </extLst>
    </cacheHierarchy>
    <cacheHierarchy uniqueName="[Measures].[Sum of Quantity]" caption="Sum of Quantity" measure="1" displayFolder="" measureGroup="SalesTable"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SalesTable" uniqueName="[SalesTable]" caption="SalesTable"/>
    <dimension name="Table2" uniqueName="[Table2]" caption="Table2"/>
  </dimensions>
  <measureGroups count="2">
    <measureGroup name="SalesTable" caption="SalesTable"/>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ika" refreshedDate="46105.544456018521" backgroundQuery="1" createdVersion="8" refreshedVersion="8" minRefreshableVersion="3" recordCount="0" supportSubquery="1" supportAdvancedDrill="1" xr:uid="{4B7C8462-24DB-43E8-B386-8FB7ED5A3521}">
  <cacheSource type="external" connectionId="1"/>
  <cacheFields count="3">
    <cacheField name="[SalesTable].[Category].[Category]" caption="Category" numFmtId="0" hierarchy="2" level="1">
      <sharedItems count="3">
        <s v="Beverages"/>
        <s v="Dairy"/>
        <s v="Snacks"/>
      </sharedItems>
    </cacheField>
    <cacheField name="[Measures].[Sum of Sales]" caption="Sum of Sales" numFmtId="0" hierarchy="27" level="32767"/>
    <cacheField name="[Measures].[Sum of Quantity]" caption="Sum of Quantity" numFmtId="0" hierarchy="29" level="32767"/>
  </cacheFields>
  <cacheHierarchies count="31">
    <cacheHierarchy uniqueName="[SalesTable].[Date]" caption="Date" attribute="1" defaultMemberUniqueName="[SalesTable].[Date].[All]" allUniqueName="[SalesTable].[Date].[All]" dimensionUniqueName="[SalesTable]" displayFolder="" count="0" memberValueDatatype="130" unbalanced="0"/>
    <cacheHierarchy uniqueName="[SalesTable].[Region]" caption="Region" attribute="1" defaultMemberUniqueName="[SalesTable].[Region].[All]" allUniqueName="[SalesTable].[Region].[All]" dimensionUniqueName="[SalesTable]" displayFolder="" count="2" memberValueDatatype="130" unbalanced="0"/>
    <cacheHierarchy uniqueName="[SalesTable].[Category]" caption="Category" attribute="1" defaultMemberUniqueName="[SalesTable].[Category].[All]" allUniqueName="[SalesTable].[Category].[All]" dimensionUniqueName="[SalesTable]" displayFolder="" count="2" memberValueDatatype="130" unbalanced="0">
      <fieldsUsage count="2">
        <fieldUsage x="-1"/>
        <fieldUsage x="0"/>
      </fieldsUsage>
    </cacheHierarchy>
    <cacheHierarchy uniqueName="[SalesTable].[Product]" caption="Product" attribute="1" defaultMemberUniqueName="[SalesTable].[Product].[All]" allUniqueName="[SalesTable].[Product].[All]" dimensionUniqueName="[SalesTable]" displayFolder="" count="0" memberValueDatatype="130" unbalanced="0"/>
    <cacheHierarchy uniqueName="[SalesTable].[SalesPerson]" caption="SalesPerson" attribute="1" defaultMemberUniqueName="[SalesTable].[SalesPerson].[All]" allUniqueName="[SalesTable].[SalesPerson].[All]" dimensionUniqueName="[SalesTable]" displayFolder="" count="2" memberValueDatatype="130" unbalanced="0"/>
    <cacheHierarchy uniqueName="[SalesTable].[Quantity]" caption="Quantity" attribute="1" defaultMemberUniqueName="[SalesTable].[Quantity].[All]" allUniqueName="[SalesTable].[Quantity].[All]" dimensionUniqueName="[SalesTable]" displayFolder="" count="0" memberValueDatatype="20" unbalanced="0"/>
    <cacheHierarchy uniqueName="[SalesTable].[Price]" caption="Price" attribute="1" defaultMemberUniqueName="[SalesTable].[Price].[All]" allUniqueName="[SalesTable].[Price].[All]" dimensionUniqueName="[SalesTable]" displayFolder="" count="0" memberValueDatatype="20" unbalanced="0"/>
    <cacheHierarchy uniqueName="[SalesTable].[Sales]" caption="Sales" attribute="1" defaultMemberUniqueName="[SalesTable].[Sales].[All]" allUniqueName="[SalesTable].[Sales].[All]" dimensionUniqueName="[SalesTable]" displayFolder="" count="0" memberValueDatatype="20" unbalanced="0"/>
    <cacheHierarchy uniqueName="[SalesTable].[Target]" caption="Target" attribute="1" defaultMemberUniqueName="[SalesTable].[Target].[All]" allUniqueName="[SalesTable].[Target].[All]" dimensionUniqueName="[SalesTable]" displayFolder="" count="0" memberValueDatatype="20" unbalanced="0"/>
    <cacheHierarchy uniqueName="[SalesTable].[Target Hit %]" caption="Target Hit %" attribute="1" defaultMemberUniqueName="[SalesTable].[Target Hit %].[All]" allUniqueName="[SalesTable].[Target Hit %].[All]" dimensionUniqueName="[SalesTable]" displayFolder="" count="0" memberValueDatatype="5" unbalanced="0"/>
    <cacheHierarchy uniqueName="[SalesTable].[Away  from Target%]" caption="Away  from Target%" attribute="1" defaultMemberUniqueName="[SalesTable].[Away  from Target%].[All]" allUniqueName="[SalesTable].[Away  from Target%].[All]" dimensionUniqueName="[SalesTable]" displayFolder="" count="0" memberValueDatatype="5" unbalanced="0"/>
    <cacheHierarchy uniqueName="[Table2].[Date]" caption="Date" attribute="1" defaultMemberUniqueName="[Table2].[Date].[All]" allUniqueName="[Table2].[Date].[All]" dimensionUniqueName="[Table2]" displayFolder="" count="0" memberValueDatatype="130" unbalanced="0"/>
    <cacheHierarchy uniqueName="[Table2].[Month]" caption="Month" attribute="1" defaultMemberUniqueName="[Table2].[Month].[All]" allUniqueName="[Table2].[Month].[All]" dimensionUniqueName="[Table2]" displayFolder="" count="2" memberValueDatatype="130" unbalanced="0"/>
    <cacheHierarchy uniqueName="[Table2].[Region]" caption="Region" attribute="1" defaultMemberUniqueName="[Table2].[Region].[All]" allUniqueName="[Table2].[Region].[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Product]" caption="Product" attribute="1" defaultMemberUniqueName="[Table2].[Product].[All]" allUniqueName="[Table2].[Product].[All]" dimensionUniqueName="[Table2]" displayFolder="" count="0" memberValueDatatype="130" unbalanced="0"/>
    <cacheHierarchy uniqueName="[Table2].[SalesPerson]" caption="SalesPerson" attribute="1" defaultMemberUniqueName="[Table2].[SalesPerson].[All]" allUniqueName="[Table2].[SalesPerson].[All]" dimensionUniqueName="[Table2]" displayFolder="" count="0" memberValueDatatype="130" unbalanced="0"/>
    <cacheHierarchy uniqueName="[Table2].[Quantity]" caption="Quantity" attribute="1" defaultMemberUniqueName="[Table2].[Quantity].[All]" allUniqueName="[Table2].[Quantity].[All]" dimensionUniqueName="[Table2]" displayFolder="" count="0" memberValueDatatype="20" unbalanced="0"/>
    <cacheHierarchy uniqueName="[Table2].[Price]" caption="Price" attribute="1" defaultMemberUniqueName="[Table2].[Price].[All]" allUniqueName="[Table2].[Price].[All]" dimensionUniqueName="[Table2]" displayFolder="" count="0" memberValueDatatype="20" unbalanced="0"/>
    <cacheHierarchy uniqueName="[Table2].[Sales]" caption="Sales" attribute="1" defaultMemberUniqueName="[Table2].[Sales].[All]" allUniqueName="[Table2].[Sales].[All]" dimensionUniqueName="[Table2]" displayFolder="" count="0" memberValueDatatype="20" unbalanced="0"/>
    <cacheHierarchy uniqueName="[Table2].[Target]" caption="Target" attribute="1" defaultMemberUniqueName="[Table2].[Target].[All]" allUniqueName="[Table2].[Target].[All]" dimensionUniqueName="[Table2]" displayFolder="" count="0" memberValueDatatype="20" unbalanced="0"/>
    <cacheHierarchy uniqueName="[Table2].[Target Hit %]" caption="Target Hit %" attribute="1" defaultMemberUniqueName="[Table2].[Target Hit %].[All]" allUniqueName="[Table2].[Target Hit %].[All]" dimensionUniqueName="[Table2]" displayFolder="" count="0" memberValueDatatype="5" unbalanced="0"/>
    <cacheHierarchy uniqueName="[Table2].[Away  from Target%]" caption="Away  from Target%" attribute="1" defaultMemberUniqueName="[Table2].[Away  from Target%].[All]" allUniqueName="[Table2].[Away  from Target%].[All]" dimensionUniqueName="[Table2]" displayFolder="" count="0" memberValueDatatype="5" unbalanced="0"/>
    <cacheHierarchy uniqueName="[Measures].[__XL_Count SalesTable]" caption="__XL_Count SalesTable" measure="1" displayFolder="" measureGroup="SalesTable"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arget Hit %]" caption="Sum of Target Hit %" measure="1" displayFolder="" measureGroup="SalesTable" count="0" hidden="1">
      <extLst>
        <ext xmlns:x15="http://schemas.microsoft.com/office/spreadsheetml/2010/11/main" uri="{B97F6D7D-B522-45F9-BDA1-12C45D357490}">
          <x15:cacheHierarchy aggregatedColumn="9"/>
        </ext>
      </extLst>
    </cacheHierarchy>
    <cacheHierarchy uniqueName="[Measures].[Sum of Sales]" caption="Sum of Sales" measure="1" displayFolder="" measureGroup="SalesTable"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Away  from Target%]" caption="Sum of Away  from Target%" measure="1" displayFolder="" measureGroup="SalesTable" count="0" hidden="1">
      <extLst>
        <ext xmlns:x15="http://schemas.microsoft.com/office/spreadsheetml/2010/11/main" uri="{B97F6D7D-B522-45F9-BDA1-12C45D357490}">
          <x15:cacheHierarchy aggregatedColumn="10"/>
        </ext>
      </extLst>
    </cacheHierarchy>
    <cacheHierarchy uniqueName="[Measures].[Sum of Quantity]" caption="Sum of Quantity" measure="1" displayFolder="" measureGroup="SalesTable" count="0" oneField="1" hidden="1">
      <fieldsUsage count="1">
        <fieldUsage x="2"/>
      </fieldsUsage>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SalesTable" uniqueName="[SalesTable]" caption="SalesTable"/>
    <dimension name="Table2" uniqueName="[Table2]" caption="Table2"/>
  </dimensions>
  <measureGroups count="2">
    <measureGroup name="SalesTable" caption="SalesTable"/>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ika" refreshedDate="46105.54445671296" backgroundQuery="1" createdVersion="8" refreshedVersion="8" minRefreshableVersion="3" recordCount="0" supportSubquery="1" supportAdvancedDrill="1" xr:uid="{E3EB37E2-2E02-47D9-9BA4-2FDC599F221F}">
  <cacheSource type="external" connectionId="1"/>
  <cacheFields count="2">
    <cacheField name="[Measures].[Sum of Sales]" caption="Sum of Sales" numFmtId="0" hierarchy="27" level="32767"/>
    <cacheField name="[SalesTable].[SalesPerson].[SalesPerson]" caption="SalesPerson" numFmtId="0" hierarchy="4" level="1">
      <sharedItems count="4">
        <s v="Amit"/>
        <s v="Neha"/>
        <s v="Priya"/>
        <s v="Raj"/>
      </sharedItems>
    </cacheField>
  </cacheFields>
  <cacheHierarchies count="31">
    <cacheHierarchy uniqueName="[SalesTable].[Date]" caption="Date" attribute="1" defaultMemberUniqueName="[SalesTable].[Date].[All]" allUniqueName="[SalesTable].[Date].[All]" dimensionUniqueName="[SalesTable]" displayFolder="" count="0" memberValueDatatype="130" unbalanced="0"/>
    <cacheHierarchy uniqueName="[SalesTable].[Region]" caption="Region" attribute="1" defaultMemberUniqueName="[SalesTable].[Region].[All]" allUniqueName="[SalesTable].[Region].[All]" dimensionUniqueName="[SalesTable]" displayFolder="" count="2" memberValueDatatype="130" unbalanced="0"/>
    <cacheHierarchy uniqueName="[SalesTable].[Category]" caption="Category" attribute="1" defaultMemberUniqueName="[SalesTable].[Category].[All]" allUniqueName="[SalesTable].[Category].[All]" dimensionUniqueName="[SalesTable]" displayFolder="" count="2" memberValueDatatype="130" unbalanced="0"/>
    <cacheHierarchy uniqueName="[SalesTable].[Product]" caption="Product" attribute="1" defaultMemberUniqueName="[SalesTable].[Product].[All]" allUniqueName="[SalesTable].[Product].[All]" dimensionUniqueName="[SalesTable]" displayFolder="" count="0" memberValueDatatype="130" unbalanced="0"/>
    <cacheHierarchy uniqueName="[SalesTable].[SalesPerson]" caption="SalesPerson" attribute="1" defaultMemberUniqueName="[SalesTable].[SalesPerson].[All]" allUniqueName="[SalesTable].[SalesPerson].[All]" dimensionUniqueName="[SalesTable]" displayFolder="" count="2" memberValueDatatype="130" unbalanced="0">
      <fieldsUsage count="2">
        <fieldUsage x="-1"/>
        <fieldUsage x="1"/>
      </fieldsUsage>
    </cacheHierarchy>
    <cacheHierarchy uniqueName="[SalesTable].[Quantity]" caption="Quantity" attribute="1" defaultMemberUniqueName="[SalesTable].[Quantity].[All]" allUniqueName="[SalesTable].[Quantity].[All]" dimensionUniqueName="[SalesTable]" displayFolder="" count="0" memberValueDatatype="20" unbalanced="0"/>
    <cacheHierarchy uniqueName="[SalesTable].[Price]" caption="Price" attribute="1" defaultMemberUniqueName="[SalesTable].[Price].[All]" allUniqueName="[SalesTable].[Price].[All]" dimensionUniqueName="[SalesTable]" displayFolder="" count="0" memberValueDatatype="20" unbalanced="0"/>
    <cacheHierarchy uniqueName="[SalesTable].[Sales]" caption="Sales" attribute="1" defaultMemberUniqueName="[SalesTable].[Sales].[All]" allUniqueName="[SalesTable].[Sales].[All]" dimensionUniqueName="[SalesTable]" displayFolder="" count="0" memberValueDatatype="20" unbalanced="0"/>
    <cacheHierarchy uniqueName="[SalesTable].[Target]" caption="Target" attribute="1" defaultMemberUniqueName="[SalesTable].[Target].[All]" allUniqueName="[SalesTable].[Target].[All]" dimensionUniqueName="[SalesTable]" displayFolder="" count="0" memberValueDatatype="20" unbalanced="0"/>
    <cacheHierarchy uniqueName="[SalesTable].[Target Hit %]" caption="Target Hit %" attribute="1" defaultMemberUniqueName="[SalesTable].[Target Hit %].[All]" allUniqueName="[SalesTable].[Target Hit %].[All]" dimensionUniqueName="[SalesTable]" displayFolder="" count="0" memberValueDatatype="5" unbalanced="0"/>
    <cacheHierarchy uniqueName="[SalesTable].[Away  from Target%]" caption="Away  from Target%" attribute="1" defaultMemberUniqueName="[SalesTable].[Away  from Target%].[All]" allUniqueName="[SalesTable].[Away  from Target%].[All]" dimensionUniqueName="[SalesTable]" displayFolder="" count="0" memberValueDatatype="5" unbalanced="0"/>
    <cacheHierarchy uniqueName="[Table2].[Date]" caption="Date" attribute="1" defaultMemberUniqueName="[Table2].[Date].[All]" allUniqueName="[Table2].[Date].[All]" dimensionUniqueName="[Table2]" displayFolder="" count="0" memberValueDatatype="130" unbalanced="0"/>
    <cacheHierarchy uniqueName="[Table2].[Month]" caption="Month" attribute="1" defaultMemberUniqueName="[Table2].[Month].[All]" allUniqueName="[Table2].[Month].[All]" dimensionUniqueName="[Table2]" displayFolder="" count="2" memberValueDatatype="130" unbalanced="0"/>
    <cacheHierarchy uniqueName="[Table2].[Region]" caption="Region" attribute="1" defaultMemberUniqueName="[Table2].[Region].[All]" allUniqueName="[Table2].[Region].[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Product]" caption="Product" attribute="1" defaultMemberUniqueName="[Table2].[Product].[All]" allUniqueName="[Table2].[Product].[All]" dimensionUniqueName="[Table2]" displayFolder="" count="0" memberValueDatatype="130" unbalanced="0"/>
    <cacheHierarchy uniqueName="[Table2].[SalesPerson]" caption="SalesPerson" attribute="1" defaultMemberUniqueName="[Table2].[SalesPerson].[All]" allUniqueName="[Table2].[SalesPerson].[All]" dimensionUniqueName="[Table2]" displayFolder="" count="0" memberValueDatatype="130" unbalanced="0"/>
    <cacheHierarchy uniqueName="[Table2].[Quantity]" caption="Quantity" attribute="1" defaultMemberUniqueName="[Table2].[Quantity].[All]" allUniqueName="[Table2].[Quantity].[All]" dimensionUniqueName="[Table2]" displayFolder="" count="0" memberValueDatatype="20" unbalanced="0"/>
    <cacheHierarchy uniqueName="[Table2].[Price]" caption="Price" attribute="1" defaultMemberUniqueName="[Table2].[Price].[All]" allUniqueName="[Table2].[Price].[All]" dimensionUniqueName="[Table2]" displayFolder="" count="0" memberValueDatatype="20" unbalanced="0"/>
    <cacheHierarchy uniqueName="[Table2].[Sales]" caption="Sales" attribute="1" defaultMemberUniqueName="[Table2].[Sales].[All]" allUniqueName="[Table2].[Sales].[All]" dimensionUniqueName="[Table2]" displayFolder="" count="0" memberValueDatatype="20" unbalanced="0"/>
    <cacheHierarchy uniqueName="[Table2].[Target]" caption="Target" attribute="1" defaultMemberUniqueName="[Table2].[Target].[All]" allUniqueName="[Table2].[Target].[All]" dimensionUniqueName="[Table2]" displayFolder="" count="0" memberValueDatatype="20" unbalanced="0"/>
    <cacheHierarchy uniqueName="[Table2].[Target Hit %]" caption="Target Hit %" attribute="1" defaultMemberUniqueName="[Table2].[Target Hit %].[All]" allUniqueName="[Table2].[Target Hit %].[All]" dimensionUniqueName="[Table2]" displayFolder="" count="0" memberValueDatatype="5" unbalanced="0"/>
    <cacheHierarchy uniqueName="[Table2].[Away  from Target%]" caption="Away  from Target%" attribute="1" defaultMemberUniqueName="[Table2].[Away  from Target%].[All]" allUniqueName="[Table2].[Away  from Target%].[All]" dimensionUniqueName="[Table2]" displayFolder="" count="0" memberValueDatatype="5" unbalanced="0"/>
    <cacheHierarchy uniqueName="[Measures].[__XL_Count SalesTable]" caption="__XL_Count SalesTable" measure="1" displayFolder="" measureGroup="SalesTable"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arget Hit %]" caption="Sum of Target Hit %" measure="1" displayFolder="" measureGroup="SalesTable" count="0" hidden="1">
      <extLst>
        <ext xmlns:x15="http://schemas.microsoft.com/office/spreadsheetml/2010/11/main" uri="{B97F6D7D-B522-45F9-BDA1-12C45D357490}">
          <x15:cacheHierarchy aggregatedColumn="9"/>
        </ext>
      </extLst>
    </cacheHierarchy>
    <cacheHierarchy uniqueName="[Measures].[Sum of Sales]" caption="Sum of Sales" measure="1" displayFolder="" measureGroup="SalesTable" count="0" oneField="1" hidden="1">
      <fieldsUsage count="1">
        <fieldUsage x="0"/>
      </fieldsUsage>
      <extLst>
        <ext xmlns:x15="http://schemas.microsoft.com/office/spreadsheetml/2010/11/main" uri="{B97F6D7D-B522-45F9-BDA1-12C45D357490}">
          <x15:cacheHierarchy aggregatedColumn="7"/>
        </ext>
      </extLst>
    </cacheHierarchy>
    <cacheHierarchy uniqueName="[Measures].[Sum of Away  from Target%]" caption="Sum of Away  from Target%" measure="1" displayFolder="" measureGroup="SalesTable" count="0" hidden="1">
      <extLst>
        <ext xmlns:x15="http://schemas.microsoft.com/office/spreadsheetml/2010/11/main" uri="{B97F6D7D-B522-45F9-BDA1-12C45D357490}">
          <x15:cacheHierarchy aggregatedColumn="10"/>
        </ext>
      </extLst>
    </cacheHierarchy>
    <cacheHierarchy uniqueName="[Measures].[Sum of Quantity]" caption="Sum of Quantity" measure="1" displayFolder="" measureGroup="SalesTable"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SalesTable" uniqueName="[SalesTable]" caption="SalesTable"/>
    <dimension name="Table2" uniqueName="[Table2]" caption="Table2"/>
  </dimensions>
  <measureGroups count="2">
    <measureGroup name="SalesTable" caption="SalesTable"/>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ika" refreshedDate="46105.544457407406" backgroundQuery="1" createdVersion="8" refreshedVersion="8" minRefreshableVersion="3" recordCount="0" supportSubquery="1" supportAdvancedDrill="1" xr:uid="{F3230894-AF6F-4948-9F48-2B8CE1EE825B}">
  <cacheSource type="external" connectionId="1"/>
  <cacheFields count="2">
    <cacheField name="[Measures].[Sum of Target Hit %]" caption="Sum of Target Hit %" numFmtId="0" hierarchy="26" level="32767"/>
    <cacheField name="[SalesTable].[SalesPerson].[SalesPerson]" caption="SalesPerson" numFmtId="0" hierarchy="4" level="1">
      <sharedItems count="4">
        <s v="Amit"/>
        <s v="Neha"/>
        <s v="Priya"/>
        <s v="Raj"/>
      </sharedItems>
    </cacheField>
  </cacheFields>
  <cacheHierarchies count="31">
    <cacheHierarchy uniqueName="[SalesTable].[Date]" caption="Date" attribute="1" defaultMemberUniqueName="[SalesTable].[Date].[All]" allUniqueName="[SalesTable].[Date].[All]" dimensionUniqueName="[SalesTable]" displayFolder="" count="0" memberValueDatatype="130" unbalanced="0"/>
    <cacheHierarchy uniqueName="[SalesTable].[Region]" caption="Region" attribute="1" defaultMemberUniqueName="[SalesTable].[Region].[All]" allUniqueName="[SalesTable].[Region].[All]" dimensionUniqueName="[SalesTable]" displayFolder="" count="2" memberValueDatatype="130" unbalanced="0"/>
    <cacheHierarchy uniqueName="[SalesTable].[Category]" caption="Category" attribute="1" defaultMemberUniqueName="[SalesTable].[Category].[All]" allUniqueName="[SalesTable].[Category].[All]" dimensionUniqueName="[SalesTable]" displayFolder="" count="2" memberValueDatatype="130" unbalanced="0"/>
    <cacheHierarchy uniqueName="[SalesTable].[Product]" caption="Product" attribute="1" defaultMemberUniqueName="[SalesTable].[Product].[All]" allUniqueName="[SalesTable].[Product].[All]" dimensionUniqueName="[SalesTable]" displayFolder="" count="0" memberValueDatatype="130" unbalanced="0"/>
    <cacheHierarchy uniqueName="[SalesTable].[SalesPerson]" caption="SalesPerson" attribute="1" defaultMemberUniqueName="[SalesTable].[SalesPerson].[All]" allUniqueName="[SalesTable].[SalesPerson].[All]" dimensionUniqueName="[SalesTable]" displayFolder="" count="2" memberValueDatatype="130" unbalanced="0">
      <fieldsUsage count="2">
        <fieldUsage x="-1"/>
        <fieldUsage x="1"/>
      </fieldsUsage>
    </cacheHierarchy>
    <cacheHierarchy uniqueName="[SalesTable].[Quantity]" caption="Quantity" attribute="1" defaultMemberUniqueName="[SalesTable].[Quantity].[All]" allUniqueName="[SalesTable].[Quantity].[All]" dimensionUniqueName="[SalesTable]" displayFolder="" count="0" memberValueDatatype="20" unbalanced="0"/>
    <cacheHierarchy uniqueName="[SalesTable].[Price]" caption="Price" attribute="1" defaultMemberUniqueName="[SalesTable].[Price].[All]" allUniqueName="[SalesTable].[Price].[All]" dimensionUniqueName="[SalesTable]" displayFolder="" count="0" memberValueDatatype="20" unbalanced="0"/>
    <cacheHierarchy uniqueName="[SalesTable].[Sales]" caption="Sales" attribute="1" defaultMemberUniqueName="[SalesTable].[Sales].[All]" allUniqueName="[SalesTable].[Sales].[All]" dimensionUniqueName="[SalesTable]" displayFolder="" count="0" memberValueDatatype="20" unbalanced="0"/>
    <cacheHierarchy uniqueName="[SalesTable].[Target]" caption="Target" attribute="1" defaultMemberUniqueName="[SalesTable].[Target].[All]" allUniqueName="[SalesTable].[Target].[All]" dimensionUniqueName="[SalesTable]" displayFolder="" count="0" memberValueDatatype="20" unbalanced="0"/>
    <cacheHierarchy uniqueName="[SalesTable].[Target Hit %]" caption="Target Hit %" attribute="1" defaultMemberUniqueName="[SalesTable].[Target Hit %].[All]" allUniqueName="[SalesTable].[Target Hit %].[All]" dimensionUniqueName="[SalesTable]" displayFolder="" count="0" memberValueDatatype="5" unbalanced="0"/>
    <cacheHierarchy uniqueName="[SalesTable].[Away  from Target%]" caption="Away  from Target%" attribute="1" defaultMemberUniqueName="[SalesTable].[Away  from Target%].[All]" allUniqueName="[SalesTable].[Away  from Target%].[All]" dimensionUniqueName="[SalesTable]" displayFolder="" count="0" memberValueDatatype="5" unbalanced="0"/>
    <cacheHierarchy uniqueName="[Table2].[Date]" caption="Date" attribute="1" defaultMemberUniqueName="[Table2].[Date].[All]" allUniqueName="[Table2].[Date].[All]" dimensionUniqueName="[Table2]" displayFolder="" count="0" memberValueDatatype="130" unbalanced="0"/>
    <cacheHierarchy uniqueName="[Table2].[Month]" caption="Month" attribute="1" defaultMemberUniqueName="[Table2].[Month].[All]" allUniqueName="[Table2].[Month].[All]" dimensionUniqueName="[Table2]" displayFolder="" count="2" memberValueDatatype="130" unbalanced="0"/>
    <cacheHierarchy uniqueName="[Table2].[Region]" caption="Region" attribute="1" defaultMemberUniqueName="[Table2].[Region].[All]" allUniqueName="[Table2].[Region].[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Product]" caption="Product" attribute="1" defaultMemberUniqueName="[Table2].[Product].[All]" allUniqueName="[Table2].[Product].[All]" dimensionUniqueName="[Table2]" displayFolder="" count="0" memberValueDatatype="130" unbalanced="0"/>
    <cacheHierarchy uniqueName="[Table2].[SalesPerson]" caption="SalesPerson" attribute="1" defaultMemberUniqueName="[Table2].[SalesPerson].[All]" allUniqueName="[Table2].[SalesPerson].[All]" dimensionUniqueName="[Table2]" displayFolder="" count="0" memberValueDatatype="130" unbalanced="0"/>
    <cacheHierarchy uniqueName="[Table2].[Quantity]" caption="Quantity" attribute="1" defaultMemberUniqueName="[Table2].[Quantity].[All]" allUniqueName="[Table2].[Quantity].[All]" dimensionUniqueName="[Table2]" displayFolder="" count="0" memberValueDatatype="20" unbalanced="0"/>
    <cacheHierarchy uniqueName="[Table2].[Price]" caption="Price" attribute="1" defaultMemberUniqueName="[Table2].[Price].[All]" allUniqueName="[Table2].[Price].[All]" dimensionUniqueName="[Table2]" displayFolder="" count="0" memberValueDatatype="20" unbalanced="0"/>
    <cacheHierarchy uniqueName="[Table2].[Sales]" caption="Sales" attribute="1" defaultMemberUniqueName="[Table2].[Sales].[All]" allUniqueName="[Table2].[Sales].[All]" dimensionUniqueName="[Table2]" displayFolder="" count="0" memberValueDatatype="20" unbalanced="0"/>
    <cacheHierarchy uniqueName="[Table2].[Target]" caption="Target" attribute="1" defaultMemberUniqueName="[Table2].[Target].[All]" allUniqueName="[Table2].[Target].[All]" dimensionUniqueName="[Table2]" displayFolder="" count="0" memberValueDatatype="20" unbalanced="0"/>
    <cacheHierarchy uniqueName="[Table2].[Target Hit %]" caption="Target Hit %" attribute="1" defaultMemberUniqueName="[Table2].[Target Hit %].[All]" allUniqueName="[Table2].[Target Hit %].[All]" dimensionUniqueName="[Table2]" displayFolder="" count="0" memberValueDatatype="5" unbalanced="0"/>
    <cacheHierarchy uniqueName="[Table2].[Away  from Target%]" caption="Away  from Target%" attribute="1" defaultMemberUniqueName="[Table2].[Away  from Target%].[All]" allUniqueName="[Table2].[Away  from Target%].[All]" dimensionUniqueName="[Table2]" displayFolder="" count="0" memberValueDatatype="5" unbalanced="0"/>
    <cacheHierarchy uniqueName="[Measures].[__XL_Count SalesTable]" caption="__XL_Count SalesTable" measure="1" displayFolder="" measureGroup="SalesTable"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arget Hit %]" caption="Sum of Target Hit %" measure="1" displayFolder="" measureGroup="SalesTable"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Sales]" caption="Sum of Sales" measure="1" displayFolder="" measureGroup="SalesTable" count="0" hidden="1">
      <extLst>
        <ext xmlns:x15="http://schemas.microsoft.com/office/spreadsheetml/2010/11/main" uri="{B97F6D7D-B522-45F9-BDA1-12C45D357490}">
          <x15:cacheHierarchy aggregatedColumn="7"/>
        </ext>
      </extLst>
    </cacheHierarchy>
    <cacheHierarchy uniqueName="[Measures].[Sum of Away  from Target%]" caption="Sum of Away  from Target%" measure="1" displayFolder="" measureGroup="SalesTable" count="0" hidden="1">
      <extLst>
        <ext xmlns:x15="http://schemas.microsoft.com/office/spreadsheetml/2010/11/main" uri="{B97F6D7D-B522-45F9-BDA1-12C45D357490}">
          <x15:cacheHierarchy aggregatedColumn="10"/>
        </ext>
      </extLst>
    </cacheHierarchy>
    <cacheHierarchy uniqueName="[Measures].[Sum of Quantity]" caption="Sum of Quantity" measure="1" displayFolder="" measureGroup="SalesTable"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SalesTable" uniqueName="[SalesTable]" caption="SalesTable"/>
    <dimension name="Table2" uniqueName="[Table2]" caption="Table2"/>
  </dimensions>
  <measureGroups count="2">
    <measureGroup name="SalesTable" caption="SalesTable"/>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ika" refreshedDate="46105.544458217591" backgroundQuery="1" createdVersion="8" refreshedVersion="8" minRefreshableVersion="3" recordCount="0" supportSubquery="1" supportAdvancedDrill="1" xr:uid="{6CD202C2-33B5-41EF-B6C9-1AF07941E021}">
  <cacheSource type="external" connectionId="1"/>
  <cacheFields count="2">
    <cacheField name="[SalesTable].[Product].[Product]" caption="Product" numFmtId="0" hierarchy="3" level="1">
      <sharedItems count="6">
        <s v="Biscuits"/>
        <s v="Cheese"/>
        <s v="Chips"/>
        <s v="Juice"/>
        <s v="Milk"/>
        <s v="Soda"/>
      </sharedItems>
    </cacheField>
    <cacheField name="[Measures].[Sum of Sales]" caption="Sum of Sales" numFmtId="0" hierarchy="27" level="32767"/>
  </cacheFields>
  <cacheHierarchies count="31">
    <cacheHierarchy uniqueName="[SalesTable].[Date]" caption="Date" attribute="1" defaultMemberUniqueName="[SalesTable].[Date].[All]" allUniqueName="[SalesTable].[Date].[All]" dimensionUniqueName="[SalesTable]" displayFolder="" count="0" memberValueDatatype="130" unbalanced="0"/>
    <cacheHierarchy uniqueName="[SalesTable].[Region]" caption="Region" attribute="1" defaultMemberUniqueName="[SalesTable].[Region].[All]" allUniqueName="[SalesTable].[Region].[All]" dimensionUniqueName="[SalesTable]" displayFolder="" count="2" memberValueDatatype="130" unbalanced="0"/>
    <cacheHierarchy uniqueName="[SalesTable].[Category]" caption="Category" attribute="1" defaultMemberUniqueName="[SalesTable].[Category].[All]" allUniqueName="[SalesTable].[Category].[All]" dimensionUniqueName="[SalesTable]" displayFolder="" count="2" memberValueDatatype="130" unbalanced="0"/>
    <cacheHierarchy uniqueName="[SalesTable].[Product]" caption="Product" attribute="1" defaultMemberUniqueName="[SalesTable].[Product].[All]" allUniqueName="[SalesTable].[Product].[All]" dimensionUniqueName="[SalesTable]" displayFolder="" count="2" memberValueDatatype="130" unbalanced="0">
      <fieldsUsage count="2">
        <fieldUsage x="-1"/>
        <fieldUsage x="0"/>
      </fieldsUsage>
    </cacheHierarchy>
    <cacheHierarchy uniqueName="[SalesTable].[SalesPerson]" caption="SalesPerson" attribute="1" defaultMemberUniqueName="[SalesTable].[SalesPerson].[All]" allUniqueName="[SalesTable].[SalesPerson].[All]" dimensionUniqueName="[SalesTable]" displayFolder="" count="2" memberValueDatatype="130" unbalanced="0"/>
    <cacheHierarchy uniqueName="[SalesTable].[Quantity]" caption="Quantity" attribute="1" defaultMemberUniqueName="[SalesTable].[Quantity].[All]" allUniqueName="[SalesTable].[Quantity].[All]" dimensionUniqueName="[SalesTable]" displayFolder="" count="0" memberValueDatatype="20" unbalanced="0"/>
    <cacheHierarchy uniqueName="[SalesTable].[Price]" caption="Price" attribute="1" defaultMemberUniqueName="[SalesTable].[Price].[All]" allUniqueName="[SalesTable].[Price].[All]" dimensionUniqueName="[SalesTable]" displayFolder="" count="0" memberValueDatatype="20" unbalanced="0"/>
    <cacheHierarchy uniqueName="[SalesTable].[Sales]" caption="Sales" attribute="1" defaultMemberUniqueName="[SalesTable].[Sales].[All]" allUniqueName="[SalesTable].[Sales].[All]" dimensionUniqueName="[SalesTable]" displayFolder="" count="0" memberValueDatatype="20" unbalanced="0"/>
    <cacheHierarchy uniqueName="[SalesTable].[Target]" caption="Target" attribute="1" defaultMemberUniqueName="[SalesTable].[Target].[All]" allUniqueName="[SalesTable].[Target].[All]" dimensionUniqueName="[SalesTable]" displayFolder="" count="0" memberValueDatatype="20" unbalanced="0"/>
    <cacheHierarchy uniqueName="[SalesTable].[Target Hit %]" caption="Target Hit %" attribute="1" defaultMemberUniqueName="[SalesTable].[Target Hit %].[All]" allUniqueName="[SalesTable].[Target Hit %].[All]" dimensionUniqueName="[SalesTable]" displayFolder="" count="0" memberValueDatatype="5" unbalanced="0"/>
    <cacheHierarchy uniqueName="[SalesTable].[Away  from Target%]" caption="Away  from Target%" attribute="1" defaultMemberUniqueName="[SalesTable].[Away  from Target%].[All]" allUniqueName="[SalesTable].[Away  from Target%].[All]" dimensionUniqueName="[SalesTable]" displayFolder="" count="0" memberValueDatatype="5" unbalanced="0"/>
    <cacheHierarchy uniqueName="[Table2].[Date]" caption="Date" attribute="1" defaultMemberUniqueName="[Table2].[Date].[All]" allUniqueName="[Table2].[Date].[All]" dimensionUniqueName="[Table2]" displayFolder="" count="0" memberValueDatatype="130" unbalanced="0"/>
    <cacheHierarchy uniqueName="[Table2].[Month]" caption="Month" attribute="1" defaultMemberUniqueName="[Table2].[Month].[All]" allUniqueName="[Table2].[Month].[All]" dimensionUniqueName="[Table2]" displayFolder="" count="2" memberValueDatatype="130" unbalanced="0"/>
    <cacheHierarchy uniqueName="[Table2].[Region]" caption="Region" attribute="1" defaultMemberUniqueName="[Table2].[Region].[All]" allUniqueName="[Table2].[Region].[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Product]" caption="Product" attribute="1" defaultMemberUniqueName="[Table2].[Product].[All]" allUniqueName="[Table2].[Product].[All]" dimensionUniqueName="[Table2]" displayFolder="" count="0" memberValueDatatype="130" unbalanced="0"/>
    <cacheHierarchy uniqueName="[Table2].[SalesPerson]" caption="SalesPerson" attribute="1" defaultMemberUniqueName="[Table2].[SalesPerson].[All]" allUniqueName="[Table2].[SalesPerson].[All]" dimensionUniqueName="[Table2]" displayFolder="" count="0" memberValueDatatype="130" unbalanced="0"/>
    <cacheHierarchy uniqueName="[Table2].[Quantity]" caption="Quantity" attribute="1" defaultMemberUniqueName="[Table2].[Quantity].[All]" allUniqueName="[Table2].[Quantity].[All]" dimensionUniqueName="[Table2]" displayFolder="" count="0" memberValueDatatype="20" unbalanced="0"/>
    <cacheHierarchy uniqueName="[Table2].[Price]" caption="Price" attribute="1" defaultMemberUniqueName="[Table2].[Price].[All]" allUniqueName="[Table2].[Price].[All]" dimensionUniqueName="[Table2]" displayFolder="" count="0" memberValueDatatype="20" unbalanced="0"/>
    <cacheHierarchy uniqueName="[Table2].[Sales]" caption="Sales" attribute="1" defaultMemberUniqueName="[Table2].[Sales].[All]" allUniqueName="[Table2].[Sales].[All]" dimensionUniqueName="[Table2]" displayFolder="" count="0" memberValueDatatype="20" unbalanced="0"/>
    <cacheHierarchy uniqueName="[Table2].[Target]" caption="Target" attribute="1" defaultMemberUniqueName="[Table2].[Target].[All]" allUniqueName="[Table2].[Target].[All]" dimensionUniqueName="[Table2]" displayFolder="" count="0" memberValueDatatype="20" unbalanced="0"/>
    <cacheHierarchy uniqueName="[Table2].[Target Hit %]" caption="Target Hit %" attribute="1" defaultMemberUniqueName="[Table2].[Target Hit %].[All]" allUniqueName="[Table2].[Target Hit %].[All]" dimensionUniqueName="[Table2]" displayFolder="" count="0" memberValueDatatype="5" unbalanced="0"/>
    <cacheHierarchy uniqueName="[Table2].[Away  from Target%]" caption="Away  from Target%" attribute="1" defaultMemberUniqueName="[Table2].[Away  from Target%].[All]" allUniqueName="[Table2].[Away  from Target%].[All]" dimensionUniqueName="[Table2]" displayFolder="" count="0" memberValueDatatype="5" unbalanced="0"/>
    <cacheHierarchy uniqueName="[Measures].[__XL_Count SalesTable]" caption="__XL_Count SalesTable" measure="1" displayFolder="" measureGroup="SalesTable"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arget Hit %]" caption="Sum of Target Hit %" measure="1" displayFolder="" measureGroup="SalesTable" count="0" hidden="1">
      <extLst>
        <ext xmlns:x15="http://schemas.microsoft.com/office/spreadsheetml/2010/11/main" uri="{B97F6D7D-B522-45F9-BDA1-12C45D357490}">
          <x15:cacheHierarchy aggregatedColumn="9"/>
        </ext>
      </extLst>
    </cacheHierarchy>
    <cacheHierarchy uniqueName="[Measures].[Sum of Sales]" caption="Sum of Sales" measure="1" displayFolder="" measureGroup="SalesTable"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Away  from Target%]" caption="Sum of Away  from Target%" measure="1" displayFolder="" measureGroup="SalesTable" count="0" hidden="1">
      <extLst>
        <ext xmlns:x15="http://schemas.microsoft.com/office/spreadsheetml/2010/11/main" uri="{B97F6D7D-B522-45F9-BDA1-12C45D357490}">
          <x15:cacheHierarchy aggregatedColumn="10"/>
        </ext>
      </extLst>
    </cacheHierarchy>
    <cacheHierarchy uniqueName="[Measures].[Sum of Quantity]" caption="Sum of Quantity" measure="1" displayFolder="" measureGroup="SalesTable"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 count="0" hidden="1">
      <extLst>
        <ext xmlns:x15="http://schemas.microsoft.com/office/spreadsheetml/2010/11/main" uri="{B97F6D7D-B522-45F9-BDA1-12C45D357490}">
          <x15:cacheHierarchy aggregatedColumn="19"/>
        </ext>
      </extLst>
    </cacheHierarchy>
  </cacheHierarchies>
  <kpis count="0"/>
  <dimensions count="3">
    <dimension measure="1" name="Measures" uniqueName="[Measures]" caption="Measures"/>
    <dimension name="SalesTable" uniqueName="[SalesTable]" caption="SalesTable"/>
    <dimension name="Table2" uniqueName="[Table2]" caption="Table2"/>
  </dimensions>
  <measureGroups count="2">
    <measureGroup name="SalesTable" caption="SalesTable"/>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ika" refreshedDate="46104.781652546299" backgroundQuery="1" createdVersion="3" refreshedVersion="8" minRefreshableVersion="3" recordCount="0" supportSubquery="1" supportAdvancedDrill="1" xr:uid="{08F7D265-2F09-481F-A770-5F6D72DCBC75}">
  <cacheSource type="external" connectionId="1">
    <extLst>
      <ext xmlns:x14="http://schemas.microsoft.com/office/spreadsheetml/2009/9/main" uri="{F057638F-6D5F-4e77-A914-E7F072B9BCA8}">
        <x14:sourceConnection name="ThisWorkbookDataModel"/>
      </ext>
    </extLst>
  </cacheSource>
  <cacheFields count="0"/>
  <cacheHierarchies count="30">
    <cacheHierarchy uniqueName="[SalesTable].[Date]" caption="Date" attribute="1" defaultMemberUniqueName="[SalesTable].[Date].[All]" allUniqueName="[SalesTable].[Date].[All]" dimensionUniqueName="[SalesTable]" displayFolder="" count="0" memberValueDatatype="130" unbalanced="0"/>
    <cacheHierarchy uniqueName="[SalesTable].[Region]" caption="Region" attribute="1" defaultMemberUniqueName="[SalesTable].[Region].[All]" allUniqueName="[SalesTable].[Region].[All]" dimensionUniqueName="[SalesTable]" displayFolder="" count="0" memberValueDatatype="130" unbalanced="0"/>
    <cacheHierarchy uniqueName="[SalesTable].[Category]" caption="Category" attribute="1" defaultMemberUniqueName="[SalesTable].[Category].[All]" allUniqueName="[SalesTable].[Category].[All]" dimensionUniqueName="[SalesTable]" displayFolder="" count="0" memberValueDatatype="130" unbalanced="0"/>
    <cacheHierarchy uniqueName="[SalesTable].[Product]" caption="Product" attribute="1" defaultMemberUniqueName="[SalesTable].[Product].[All]" allUniqueName="[SalesTable].[Product].[All]" dimensionUniqueName="[SalesTable]" displayFolder="" count="0" memberValueDatatype="130" unbalanced="0"/>
    <cacheHierarchy uniqueName="[SalesTable].[SalesPerson]" caption="SalesPerson" attribute="1" defaultMemberUniqueName="[SalesTable].[SalesPerson].[All]" allUniqueName="[SalesTable].[SalesPerson].[All]" dimensionUniqueName="[SalesTable]" displayFolder="" count="0" memberValueDatatype="130" unbalanced="0"/>
    <cacheHierarchy uniqueName="[SalesTable].[Quantity]" caption="Quantity" attribute="1" defaultMemberUniqueName="[SalesTable].[Quantity].[All]" allUniqueName="[SalesTable].[Quantity].[All]" dimensionUniqueName="[SalesTable]" displayFolder="" count="0" memberValueDatatype="20" unbalanced="0"/>
    <cacheHierarchy uniqueName="[SalesTable].[Price]" caption="Price" attribute="1" defaultMemberUniqueName="[SalesTable].[Price].[All]" allUniqueName="[SalesTable].[Price].[All]" dimensionUniqueName="[SalesTable]" displayFolder="" count="0" memberValueDatatype="20" unbalanced="0"/>
    <cacheHierarchy uniqueName="[SalesTable].[Sales]" caption="Sales" attribute="1" defaultMemberUniqueName="[SalesTable].[Sales].[All]" allUniqueName="[SalesTable].[Sales].[All]" dimensionUniqueName="[SalesTable]" displayFolder="" count="0" memberValueDatatype="20" unbalanced="0"/>
    <cacheHierarchy uniqueName="[SalesTable].[Target]" caption="Target" attribute="1" defaultMemberUniqueName="[SalesTable].[Target].[All]" allUniqueName="[SalesTable].[Target].[All]" dimensionUniqueName="[SalesTable]" displayFolder="" count="0" memberValueDatatype="20" unbalanced="0"/>
    <cacheHierarchy uniqueName="[SalesTable].[Target Hit %]" caption="Target Hit %" attribute="1" defaultMemberUniqueName="[SalesTable].[Target Hit %].[All]" allUniqueName="[SalesTable].[Target Hit %].[All]" dimensionUniqueName="[SalesTable]" displayFolder="" count="0" memberValueDatatype="5" unbalanced="0"/>
    <cacheHierarchy uniqueName="[SalesTable].[Away  from Target%]" caption="Away  from Target%" attribute="1" defaultMemberUniqueName="[SalesTable].[Away  from Target%].[All]" allUniqueName="[SalesTable].[Away  from Target%].[All]" dimensionUniqueName="[SalesTable]" displayFolder="" count="0" memberValueDatatype="5" unbalanced="0"/>
    <cacheHierarchy uniqueName="[Table2].[Date]" caption="Date" attribute="1" defaultMemberUniqueName="[Table2].[Date].[All]" allUniqueName="[Table2].[Date].[All]" dimensionUniqueName="[Table2]" displayFolder="" count="0" memberValueDatatype="130" unbalanced="0"/>
    <cacheHierarchy uniqueName="[Table2].[Month]" caption="Month" attribute="1" defaultMemberUniqueName="[Table2].[Month].[All]" allUniqueName="[Table2].[Month].[All]" dimensionUniqueName="[Table2]" displayFolder="" count="0" memberValueDatatype="130" unbalanced="0"/>
    <cacheHierarchy uniqueName="[Table2].[Region]" caption="Region" attribute="1" defaultMemberUniqueName="[Table2].[Region].[All]" allUniqueName="[Table2].[Region].[All]" dimensionUniqueName="[Table2]" displayFolder="" count="0" memberValueDatatype="130" unbalanced="0"/>
    <cacheHierarchy uniqueName="[Table2].[Category]" caption="Category" attribute="1" defaultMemberUniqueName="[Table2].[Category].[All]" allUniqueName="[Table2].[Category].[All]" dimensionUniqueName="[Table2]" displayFolder="" count="0" memberValueDatatype="130" unbalanced="0"/>
    <cacheHierarchy uniqueName="[Table2].[Product]" caption="Product" attribute="1" defaultMemberUniqueName="[Table2].[Product].[All]" allUniqueName="[Table2].[Product].[All]" dimensionUniqueName="[Table2]" displayFolder="" count="0" memberValueDatatype="130" unbalanced="0"/>
    <cacheHierarchy uniqueName="[Table2].[SalesPerson]" caption="SalesPerson" attribute="1" defaultMemberUniqueName="[Table2].[SalesPerson].[All]" allUniqueName="[Table2].[SalesPerson].[All]" dimensionUniqueName="[Table2]" displayFolder="" count="0" memberValueDatatype="130" unbalanced="0"/>
    <cacheHierarchy uniqueName="[Table2].[Quantity]" caption="Quantity" attribute="1" defaultMemberUniqueName="[Table2].[Quantity].[All]" allUniqueName="[Table2].[Quantity].[All]" dimensionUniqueName="[Table2]" displayFolder="" count="0" memberValueDatatype="20" unbalanced="0"/>
    <cacheHierarchy uniqueName="[Table2].[Price]" caption="Price" attribute="1" defaultMemberUniqueName="[Table2].[Price].[All]" allUniqueName="[Table2].[Price].[All]" dimensionUniqueName="[Table2]" displayFolder="" count="0" memberValueDatatype="20" unbalanced="0"/>
    <cacheHierarchy uniqueName="[Table2].[Sales]" caption="Sales" attribute="1" defaultMemberUniqueName="[Table2].[Sales].[All]" allUniqueName="[Table2].[Sales].[All]" dimensionUniqueName="[Table2]" displayFolder="" count="0" memberValueDatatype="20" unbalanced="0"/>
    <cacheHierarchy uniqueName="[Table2].[Target]" caption="Target" attribute="1" defaultMemberUniqueName="[Table2].[Target].[All]" allUniqueName="[Table2].[Target].[All]" dimensionUniqueName="[Table2]" displayFolder="" count="0" memberValueDatatype="20" unbalanced="0"/>
    <cacheHierarchy uniqueName="[Table2].[Target Hit %]" caption="Target Hit %" attribute="1" defaultMemberUniqueName="[Table2].[Target Hit %].[All]" allUniqueName="[Table2].[Target Hit %].[All]" dimensionUniqueName="[Table2]" displayFolder="" count="0" memberValueDatatype="5" unbalanced="0"/>
    <cacheHierarchy uniqueName="[Table2].[Away  from Target%]" caption="Away  from Target%" attribute="1" defaultMemberUniqueName="[Table2].[Away  from Target%].[All]" allUniqueName="[Table2].[Away  from Target%].[All]" dimensionUniqueName="[Table2]" displayFolder="" count="0" memberValueDatatype="5" unbalanced="0"/>
    <cacheHierarchy uniqueName="[Measures].[__XL_Count SalesTable]" caption="__XL_Count SalesTable" measure="1" displayFolder="" measureGroup="SalesTable" count="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arget Hit %]" caption="Sum of Target Hit %" measure="1" displayFolder="" measureGroup="SalesTable" count="0" hidden="1">
      <extLst>
        <ext xmlns:x15="http://schemas.microsoft.com/office/spreadsheetml/2010/11/main" uri="{B97F6D7D-B522-45F9-BDA1-12C45D357490}">
          <x15:cacheHierarchy aggregatedColumn="9"/>
        </ext>
      </extLst>
    </cacheHierarchy>
    <cacheHierarchy uniqueName="[Measures].[Sum of Sales]" caption="Sum of Sales" measure="1" displayFolder="" measureGroup="SalesTable" count="0" hidden="1">
      <extLst>
        <ext xmlns:x15="http://schemas.microsoft.com/office/spreadsheetml/2010/11/main" uri="{B97F6D7D-B522-45F9-BDA1-12C45D357490}">
          <x15:cacheHierarchy aggregatedColumn="7"/>
        </ext>
      </extLst>
    </cacheHierarchy>
    <cacheHierarchy uniqueName="[Measures].[Sum of Away  from Target%]" caption="Sum of Away  from Target%" measure="1" displayFolder="" measureGroup="SalesTable" count="0" hidden="1">
      <extLst>
        <ext xmlns:x15="http://schemas.microsoft.com/office/spreadsheetml/2010/11/main" uri="{B97F6D7D-B522-45F9-BDA1-12C45D357490}">
          <x15:cacheHierarchy aggregatedColumn="10"/>
        </ext>
      </extLst>
    </cacheHierarchy>
    <cacheHierarchy uniqueName="[Measures].[Sum of Quantity]" caption="Sum of Quantity" measure="1" displayFolder="" measureGroup="SalesTable" count="0" hidden="1">
      <extLst>
        <ext xmlns:x15="http://schemas.microsoft.com/office/spreadsheetml/2010/11/main" uri="{B97F6D7D-B522-45F9-BDA1-12C45D357490}">
          <x15:cacheHierarchy aggregatedColumn="5"/>
        </ext>
      </extLst>
    </cacheHierarchy>
  </cacheHierarchies>
  <kpis count="0"/>
  <dimensions count="3">
    <dimension measure="1" name="Measures" uniqueName="[Measures]" caption="Measures"/>
    <dimension name="SalesTable" uniqueName="[SalesTable]" caption="SalesTable"/>
    <dimension name="Table2" uniqueName="[Table2]" caption="Table2"/>
  </dimensions>
  <measureGroups count="2">
    <measureGroup name="SalesTable" caption="SalesTable"/>
    <measureGroup name="Table2" caption="Table2"/>
  </measureGroups>
  <maps count="2">
    <map measureGroup="0" dimension="1"/>
    <map measureGroup="1" dimension="2"/>
  </maps>
  <extLst>
    <ext xmlns:x14="http://schemas.microsoft.com/office/spreadsheetml/2009/9/main" uri="{725AE2AE-9491-48be-B2B4-4EB974FC3084}">
      <x14:pivotCacheDefinition slicerData="1" pivotCacheId="1833672434"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x v="0"/>
    <x v="0"/>
    <s v="South"/>
    <s v="Snacks"/>
    <s v="Chips"/>
    <s v="Neha"/>
    <n v="13"/>
    <n v="20"/>
    <n v="260"/>
    <n v="400"/>
    <n v="0.65"/>
    <n v="-0.35"/>
  </r>
  <r>
    <x v="1"/>
    <x v="0"/>
    <s v="North"/>
    <s v="Snacks"/>
    <s v="Juice"/>
    <s v="Neha"/>
    <n v="6"/>
    <n v="20"/>
    <n v="120"/>
    <n v="400"/>
    <n v="0.3"/>
    <n v="-0.7"/>
  </r>
  <r>
    <x v="2"/>
    <x v="0"/>
    <s v="West"/>
    <s v="Snacks"/>
    <s v="Juice"/>
    <s v="Raj"/>
    <n v="11"/>
    <n v="30"/>
    <n v="330"/>
    <n v="400"/>
    <n v="0.82499999999999996"/>
    <n v="-0.17499999999999999"/>
  </r>
  <r>
    <x v="3"/>
    <x v="0"/>
    <s v="East"/>
    <s v="Snacks"/>
    <s v="Milk"/>
    <s v="Priya"/>
    <n v="14"/>
    <n v="25"/>
    <n v="350"/>
    <n v="400"/>
    <n v="0.875"/>
    <n v="-0.125"/>
  </r>
  <r>
    <x v="4"/>
    <x v="0"/>
    <s v="East"/>
    <s v="Snacks"/>
    <s v="Soda"/>
    <s v="Raj"/>
    <n v="15"/>
    <n v="60"/>
    <n v="900"/>
    <n v="400"/>
    <n v="2.25"/>
    <n v="1.25"/>
  </r>
  <r>
    <x v="5"/>
    <x v="0"/>
    <s v="North"/>
    <s v="Snacks"/>
    <s v="Juice"/>
    <s v="Raj"/>
    <n v="5"/>
    <n v="20"/>
    <n v="100"/>
    <n v="400"/>
    <n v="0.25"/>
    <n v="-0.75"/>
  </r>
  <r>
    <x v="6"/>
    <x v="0"/>
    <s v="South"/>
    <s v="Snacks"/>
    <s v="Juice"/>
    <s v="Raj"/>
    <n v="8"/>
    <n v="50"/>
    <n v="400"/>
    <n v="400"/>
    <n v="1"/>
    <n v="0"/>
  </r>
  <r>
    <x v="7"/>
    <x v="0"/>
    <s v="North"/>
    <s v="Beverages"/>
    <s v="Milk"/>
    <s v="Raj"/>
    <n v="14"/>
    <n v="20"/>
    <n v="280"/>
    <n v="400"/>
    <n v="0.7"/>
    <n v="-0.3"/>
  </r>
  <r>
    <x v="8"/>
    <x v="0"/>
    <s v="West"/>
    <s v="Beverages"/>
    <s v="Soda"/>
    <s v="Neha"/>
    <n v="9"/>
    <n v="40"/>
    <n v="360"/>
    <n v="400"/>
    <n v="0.9"/>
    <n v="-0.1"/>
  </r>
  <r>
    <x v="9"/>
    <x v="0"/>
    <s v="North"/>
    <s v="Dairy"/>
    <s v="Chips"/>
    <s v="Neha"/>
    <n v="13"/>
    <n v="60"/>
    <n v="780"/>
    <n v="400"/>
    <n v="1.95"/>
    <n v="0.95"/>
  </r>
  <r>
    <x v="10"/>
    <x v="0"/>
    <s v="North"/>
    <s v="Snacks"/>
    <s v="Cheese"/>
    <s v="Raj"/>
    <n v="11"/>
    <n v="30"/>
    <n v="330"/>
    <n v="400"/>
    <n v="0.82499999999999996"/>
    <n v="-0.17499999999999999"/>
  </r>
  <r>
    <x v="11"/>
    <x v="0"/>
    <s v="West"/>
    <s v="Beverages"/>
    <s v="Juice"/>
    <s v="Raj"/>
    <n v="13"/>
    <n v="30"/>
    <n v="390"/>
    <n v="400"/>
    <n v="0.97499999999999998"/>
    <n v="-2.5000000000000001E-2"/>
  </r>
  <r>
    <x v="12"/>
    <x v="0"/>
    <s v="South"/>
    <s v="Beverages"/>
    <s v="Juice"/>
    <s v="Raj"/>
    <n v="6"/>
    <n v="20"/>
    <n v="120"/>
    <n v="400"/>
    <n v="0.3"/>
    <n v="-0.7"/>
  </r>
  <r>
    <x v="13"/>
    <x v="0"/>
    <s v="West"/>
    <s v="Snacks"/>
    <s v="Milk"/>
    <s v="Raj"/>
    <n v="8"/>
    <n v="25"/>
    <n v="200"/>
    <n v="400"/>
    <n v="0.5"/>
    <n v="-0.5"/>
  </r>
  <r>
    <x v="14"/>
    <x v="0"/>
    <s v="South"/>
    <s v="Dairy"/>
    <s v="Milk"/>
    <s v="Neha"/>
    <n v="14"/>
    <n v="30"/>
    <n v="420"/>
    <n v="400"/>
    <n v="1.05"/>
    <n v="0.05"/>
  </r>
  <r>
    <x v="15"/>
    <x v="0"/>
    <s v="East"/>
    <s v="Beverages"/>
    <s v="Soda"/>
    <s v="Neha"/>
    <n v="11"/>
    <n v="25"/>
    <n v="275"/>
    <n v="400"/>
    <n v="0.6875"/>
    <n v="-0.3125"/>
  </r>
  <r>
    <x v="16"/>
    <x v="0"/>
    <s v="West"/>
    <s v="Snacks"/>
    <s v="Chips"/>
    <s v="Raj"/>
    <n v="5"/>
    <n v="25"/>
    <n v="125"/>
    <n v="400"/>
    <n v="0.3125"/>
    <n v="-0.6875"/>
  </r>
  <r>
    <x v="17"/>
    <x v="0"/>
    <s v="North"/>
    <s v="Dairy"/>
    <s v="Cheese"/>
    <s v="Raj"/>
    <n v="6"/>
    <n v="20"/>
    <n v="120"/>
    <n v="400"/>
    <n v="0.3"/>
    <n v="-0.7"/>
  </r>
  <r>
    <x v="18"/>
    <x v="0"/>
    <s v="West"/>
    <s v="Beverages"/>
    <s v="Biscuits"/>
    <s v="Raj"/>
    <n v="5"/>
    <n v="30"/>
    <n v="150"/>
    <n v="400"/>
    <n v="0.375"/>
    <n v="-0.625"/>
  </r>
  <r>
    <x v="19"/>
    <x v="0"/>
    <s v="West"/>
    <s v="Dairy"/>
    <s v="Juice"/>
    <s v="Raj"/>
    <n v="6"/>
    <n v="60"/>
    <n v="360"/>
    <n v="400"/>
    <n v="0.9"/>
    <n v="-0.1"/>
  </r>
  <r>
    <x v="20"/>
    <x v="0"/>
    <s v="West"/>
    <s v="Dairy"/>
    <s v="Cheese"/>
    <s v="Raj"/>
    <n v="10"/>
    <n v="25"/>
    <n v="250"/>
    <n v="400"/>
    <n v="0.625"/>
    <n v="-0.375"/>
  </r>
  <r>
    <x v="21"/>
    <x v="0"/>
    <s v="West"/>
    <s v="Dairy"/>
    <s v="Soda"/>
    <s v="Priya"/>
    <n v="11"/>
    <n v="50"/>
    <n v="550"/>
    <n v="400"/>
    <n v="1.375"/>
    <n v="0.375"/>
  </r>
  <r>
    <x v="22"/>
    <x v="0"/>
    <s v="North"/>
    <s v="Beverages"/>
    <s v="Juice"/>
    <s v="Priya"/>
    <n v="10"/>
    <n v="50"/>
    <n v="500"/>
    <n v="400"/>
    <n v="1.25"/>
    <n v="0.25"/>
  </r>
  <r>
    <x v="23"/>
    <x v="0"/>
    <s v="East"/>
    <s v="Beverages"/>
    <s v="Juice"/>
    <s v="Raj"/>
    <n v="8"/>
    <n v="25"/>
    <n v="200"/>
    <n v="400"/>
    <n v="0.5"/>
    <n v="-0.5"/>
  </r>
  <r>
    <x v="24"/>
    <x v="0"/>
    <s v="East"/>
    <s v="Dairy"/>
    <s v="Chips"/>
    <s v="Priya"/>
    <n v="12"/>
    <n v="20"/>
    <n v="240"/>
    <n v="400"/>
    <n v="0.6"/>
    <n v="-0.4"/>
  </r>
  <r>
    <x v="25"/>
    <x v="0"/>
    <s v="North"/>
    <s v="Snacks"/>
    <s v="Chips"/>
    <s v="Priya"/>
    <n v="7"/>
    <n v="40"/>
    <n v="280"/>
    <n v="400"/>
    <n v="0.7"/>
    <n v="-0.3"/>
  </r>
  <r>
    <x v="26"/>
    <x v="0"/>
    <s v="East"/>
    <s v="Beverages"/>
    <s v="Biscuits"/>
    <s v="Priya"/>
    <n v="8"/>
    <n v="40"/>
    <n v="320"/>
    <n v="400"/>
    <n v="0.8"/>
    <n v="-0.2"/>
  </r>
  <r>
    <x v="27"/>
    <x v="0"/>
    <s v="East"/>
    <s v="Beverages"/>
    <s v="Biscuits"/>
    <s v="Raj"/>
    <n v="14"/>
    <n v="50"/>
    <n v="700"/>
    <n v="400"/>
    <n v="1.75"/>
    <n v="0.75"/>
  </r>
  <r>
    <x v="28"/>
    <x v="0"/>
    <s v="South"/>
    <s v="Beverages"/>
    <s v="Milk"/>
    <s v="Raj"/>
    <n v="13"/>
    <n v="50"/>
    <n v="650"/>
    <n v="400"/>
    <n v="1.625"/>
    <n v="0.625"/>
  </r>
  <r>
    <x v="29"/>
    <x v="0"/>
    <s v="South"/>
    <s v="Dairy"/>
    <s v="Biscuits"/>
    <s v="Raj"/>
    <n v="5"/>
    <n v="20"/>
    <n v="100"/>
    <n v="400"/>
    <n v="0.25"/>
    <n v="-0.75"/>
  </r>
  <r>
    <x v="30"/>
    <x v="0"/>
    <s v="North"/>
    <s v="Snacks"/>
    <s v="Cheese"/>
    <s v="Priya"/>
    <n v="8"/>
    <n v="60"/>
    <n v="480"/>
    <n v="400"/>
    <n v="1.2"/>
    <n v="0.2"/>
  </r>
  <r>
    <x v="31"/>
    <x v="1"/>
    <s v="South"/>
    <s v="Beverages"/>
    <s v="Chips"/>
    <s v="Amit"/>
    <n v="8"/>
    <n v="40"/>
    <n v="320"/>
    <n v="400"/>
    <n v="0.8"/>
    <n v="-0.2"/>
  </r>
  <r>
    <x v="32"/>
    <x v="1"/>
    <s v="West"/>
    <s v="Dairy"/>
    <s v="Biscuits"/>
    <s v="Priya"/>
    <n v="9"/>
    <n v="60"/>
    <n v="540"/>
    <n v="400"/>
    <n v="1.35"/>
    <n v="0.35"/>
  </r>
  <r>
    <x v="33"/>
    <x v="1"/>
    <s v="East"/>
    <s v="Snacks"/>
    <s v="Cheese"/>
    <s v="Raj"/>
    <n v="9"/>
    <n v="40"/>
    <n v="360"/>
    <n v="400"/>
    <n v="0.9"/>
    <n v="-0.1"/>
  </r>
  <r>
    <x v="34"/>
    <x v="1"/>
    <s v="East"/>
    <s v="Dairy"/>
    <s v="Chips"/>
    <s v="Priya"/>
    <n v="15"/>
    <n v="40"/>
    <n v="600"/>
    <n v="400"/>
    <n v="1.5"/>
    <n v="0.5"/>
  </r>
  <r>
    <x v="35"/>
    <x v="1"/>
    <s v="South"/>
    <s v="Dairy"/>
    <s v="Milk"/>
    <s v="Neha"/>
    <n v="8"/>
    <n v="20"/>
    <n v="160"/>
    <n v="400"/>
    <n v="0.4"/>
    <n v="-0.6"/>
  </r>
  <r>
    <x v="36"/>
    <x v="1"/>
    <s v="East"/>
    <s v="Beverages"/>
    <s v="Biscuits"/>
    <s v="Amit"/>
    <n v="5"/>
    <n v="30"/>
    <n v="150"/>
    <n v="400"/>
    <n v="0.375"/>
    <n v="-0.625"/>
  </r>
  <r>
    <x v="37"/>
    <x v="1"/>
    <s v="East"/>
    <s v="Dairy"/>
    <s v="Milk"/>
    <s v="Amit"/>
    <n v="12"/>
    <n v="20"/>
    <n v="240"/>
    <n v="400"/>
    <n v="0.6"/>
    <n v="-0.4"/>
  </r>
  <r>
    <x v="38"/>
    <x v="1"/>
    <s v="South"/>
    <s v="Beverages"/>
    <s v="Biscuits"/>
    <s v="Raj"/>
    <n v="13"/>
    <n v="20"/>
    <n v="260"/>
    <n v="400"/>
    <n v="0.65"/>
    <n v="-0.35"/>
  </r>
  <r>
    <x v="39"/>
    <x v="1"/>
    <s v="East"/>
    <s v="Dairy"/>
    <s v="Milk"/>
    <s v="Amit"/>
    <n v="7"/>
    <n v="20"/>
    <n v="140"/>
    <n v="400"/>
    <n v="0.35"/>
    <n v="-0.65"/>
  </r>
  <r>
    <x v="40"/>
    <x v="1"/>
    <s v="East"/>
    <s v="Dairy"/>
    <s v="Biscuits"/>
    <s v="Raj"/>
    <n v="5"/>
    <n v="40"/>
    <n v="200"/>
    <n v="400"/>
    <n v="0.5"/>
    <n v="-0.5"/>
  </r>
  <r>
    <x v="41"/>
    <x v="1"/>
    <s v="North"/>
    <s v="Beverages"/>
    <s v="Chips"/>
    <s v="Neha"/>
    <n v="5"/>
    <n v="40"/>
    <n v="200"/>
    <n v="400"/>
    <n v="0.5"/>
    <n v="-0.5"/>
  </r>
  <r>
    <x v="42"/>
    <x v="1"/>
    <s v="West"/>
    <s v="Dairy"/>
    <s v="Chips"/>
    <s v="Priya"/>
    <n v="5"/>
    <n v="40"/>
    <n v="200"/>
    <n v="400"/>
    <n v="0.5"/>
    <n v="-0.5"/>
  </r>
  <r>
    <x v="43"/>
    <x v="1"/>
    <s v="West"/>
    <s v="Dairy"/>
    <s v="Soda"/>
    <s v="Priya"/>
    <n v="8"/>
    <n v="50"/>
    <n v="400"/>
    <n v="400"/>
    <n v="1"/>
    <n v="0"/>
  </r>
  <r>
    <x v="44"/>
    <x v="1"/>
    <s v="East"/>
    <s v="Snacks"/>
    <s v="Soda"/>
    <s v="Raj"/>
    <n v="15"/>
    <n v="50"/>
    <n v="750"/>
    <n v="400"/>
    <n v="1.875"/>
    <n v="0.875"/>
  </r>
  <r>
    <x v="45"/>
    <x v="1"/>
    <s v="West"/>
    <s v="Dairy"/>
    <s v="Milk"/>
    <s v="Amit"/>
    <n v="7"/>
    <n v="20"/>
    <n v="140"/>
    <n v="400"/>
    <n v="0.35"/>
    <n v="-0.65"/>
  </r>
  <r>
    <x v="46"/>
    <x v="1"/>
    <s v="North"/>
    <s v="Beverages"/>
    <s v="Biscuits"/>
    <s v="Priya"/>
    <n v="15"/>
    <n v="20"/>
    <n v="300"/>
    <n v="400"/>
    <n v="0.75"/>
    <n v="-0.25"/>
  </r>
  <r>
    <x v="47"/>
    <x v="1"/>
    <s v="South"/>
    <s v="Dairy"/>
    <s v="Chips"/>
    <s v="Priya"/>
    <n v="14"/>
    <n v="20"/>
    <n v="280"/>
    <n v="400"/>
    <n v="0.7"/>
    <n v="-0.3"/>
  </r>
  <r>
    <x v="48"/>
    <x v="1"/>
    <s v="East"/>
    <s v="Snacks"/>
    <s v="Chips"/>
    <s v="Raj"/>
    <n v="11"/>
    <n v="50"/>
    <n v="550"/>
    <n v="400"/>
    <n v="1.375"/>
    <n v="0.375"/>
  </r>
  <r>
    <x v="49"/>
    <x v="1"/>
    <s v="West"/>
    <s v="Dairy"/>
    <s v="Chips"/>
    <s v="Raj"/>
    <n v="14"/>
    <n v="25"/>
    <n v="350"/>
    <n v="400"/>
    <n v="0.875"/>
    <n v="-0.125"/>
  </r>
  <r>
    <x v="50"/>
    <x v="1"/>
    <s v="South"/>
    <s v="Beverages"/>
    <s v="Milk"/>
    <s v="Raj"/>
    <n v="5"/>
    <n v="40"/>
    <n v="200"/>
    <n v="400"/>
    <n v="0.5"/>
    <n v="-0.5"/>
  </r>
  <r>
    <x v="51"/>
    <x v="1"/>
    <s v="West"/>
    <s v="Snacks"/>
    <s v="Chips"/>
    <s v="Neha"/>
    <n v="5"/>
    <n v="60"/>
    <n v="300"/>
    <n v="400"/>
    <n v="0.75"/>
    <n v="-0.25"/>
  </r>
  <r>
    <x v="52"/>
    <x v="1"/>
    <s v="East"/>
    <s v="Snacks"/>
    <s v="Juice"/>
    <s v="Amit"/>
    <n v="9"/>
    <n v="60"/>
    <n v="540"/>
    <n v="400"/>
    <n v="1.35"/>
    <n v="0.35"/>
  </r>
  <r>
    <x v="53"/>
    <x v="1"/>
    <s v="East"/>
    <s v="Beverages"/>
    <s v="Chips"/>
    <s v="Amit"/>
    <n v="9"/>
    <n v="40"/>
    <n v="360"/>
    <n v="400"/>
    <n v="0.9"/>
    <n v="-0.1"/>
  </r>
  <r>
    <x v="54"/>
    <x v="1"/>
    <s v="West"/>
    <s v="Dairy"/>
    <s v="Cheese"/>
    <s v="Amit"/>
    <n v="10"/>
    <n v="25"/>
    <n v="250"/>
    <n v="400"/>
    <n v="0.625"/>
    <n v="-0.375"/>
  </r>
  <r>
    <x v="55"/>
    <x v="1"/>
    <s v="South"/>
    <s v="Dairy"/>
    <s v="Soda"/>
    <s v="Raj"/>
    <n v="11"/>
    <n v="30"/>
    <n v="330"/>
    <n v="400"/>
    <n v="0.82499999999999996"/>
    <n v="-0.17499999999999999"/>
  </r>
  <r>
    <x v="56"/>
    <x v="1"/>
    <s v="North"/>
    <s v="Snacks"/>
    <s v="Soda"/>
    <s v="Neha"/>
    <n v="11"/>
    <n v="50"/>
    <n v="550"/>
    <n v="400"/>
    <n v="1.375"/>
    <n v="0.375"/>
  </r>
  <r>
    <x v="57"/>
    <x v="1"/>
    <s v="East"/>
    <s v="Dairy"/>
    <s v="Milk"/>
    <s v="Amit"/>
    <n v="8"/>
    <n v="30"/>
    <n v="240"/>
    <n v="400"/>
    <n v="0.6"/>
    <n v="-0.4"/>
  </r>
  <r>
    <x v="58"/>
    <x v="1"/>
    <s v="East"/>
    <s v="Snacks"/>
    <s v="Milk"/>
    <s v="Raj"/>
    <n v="13"/>
    <n v="50"/>
    <n v="650"/>
    <n v="400"/>
    <n v="1.625"/>
    <n v="0.625"/>
  </r>
  <r>
    <x v="59"/>
    <x v="1"/>
    <s v="North"/>
    <s v="Dairy"/>
    <s v="Cheese"/>
    <s v="Priya"/>
    <n v="10"/>
    <n v="40"/>
    <n v="400"/>
    <n v="400"/>
    <n v="1"/>
    <n v="0"/>
  </r>
  <r>
    <x v="60"/>
    <x v="2"/>
    <s v="West"/>
    <s v="Dairy"/>
    <s v="Cheese"/>
    <s v="Raj"/>
    <n v="8"/>
    <n v="50"/>
    <n v="400"/>
    <n v="400"/>
    <n v="1"/>
    <n v="0"/>
  </r>
  <r>
    <x v="61"/>
    <x v="2"/>
    <s v="North"/>
    <s v="Dairy"/>
    <s v="Chips"/>
    <s v="Raj"/>
    <n v="11"/>
    <n v="25"/>
    <n v="275"/>
    <n v="400"/>
    <n v="0.6875"/>
    <n v="-0.3125"/>
  </r>
  <r>
    <x v="62"/>
    <x v="2"/>
    <s v="East"/>
    <s v="Snacks"/>
    <s v="Juice"/>
    <s v="Priya"/>
    <n v="6"/>
    <n v="20"/>
    <n v="120"/>
    <n v="400"/>
    <n v="0.3"/>
    <n v="-0.7"/>
  </r>
  <r>
    <x v="63"/>
    <x v="2"/>
    <s v="South"/>
    <s v="Beverages"/>
    <s v="Biscuits"/>
    <s v="Amit"/>
    <n v="13"/>
    <n v="20"/>
    <n v="260"/>
    <n v="400"/>
    <n v="0.65"/>
    <n v="-0.35"/>
  </r>
  <r>
    <x v="64"/>
    <x v="2"/>
    <s v="East"/>
    <s v="Beverages"/>
    <s v="Juice"/>
    <s v="Raj"/>
    <n v="10"/>
    <n v="25"/>
    <n v="250"/>
    <n v="400"/>
    <n v="0.625"/>
    <n v="-0.375"/>
  </r>
  <r>
    <x v="65"/>
    <x v="2"/>
    <s v="West"/>
    <s v="Dairy"/>
    <s v="Soda"/>
    <s v="Raj"/>
    <n v="13"/>
    <n v="20"/>
    <n v="260"/>
    <n v="400"/>
    <n v="0.65"/>
    <n v="-0.35"/>
  </r>
  <r>
    <x v="66"/>
    <x v="2"/>
    <s v="East"/>
    <s v="Snacks"/>
    <s v="Soda"/>
    <s v="Priya"/>
    <n v="6"/>
    <n v="30"/>
    <n v="180"/>
    <n v="400"/>
    <n v="0.45"/>
    <n v="-0.55000000000000004"/>
  </r>
  <r>
    <x v="67"/>
    <x v="2"/>
    <s v="South"/>
    <s v="Beverages"/>
    <s v="Chips"/>
    <s v="Priya"/>
    <n v="15"/>
    <n v="50"/>
    <n v="750"/>
    <n v="400"/>
    <n v="1.875"/>
    <n v="0.875"/>
  </r>
  <r>
    <x v="68"/>
    <x v="2"/>
    <s v="West"/>
    <s v="Beverages"/>
    <s v="Cheese"/>
    <s v="Raj"/>
    <n v="13"/>
    <n v="40"/>
    <n v="520"/>
    <n v="400"/>
    <n v="1.3"/>
    <n v="0.3"/>
  </r>
  <r>
    <x v="69"/>
    <x v="2"/>
    <s v="West"/>
    <s v="Beverages"/>
    <s v="Soda"/>
    <s v="Amit"/>
    <n v="11"/>
    <n v="50"/>
    <n v="550"/>
    <n v="400"/>
    <n v="1.375"/>
    <n v="0.375"/>
  </r>
  <r>
    <x v="70"/>
    <x v="2"/>
    <s v="South"/>
    <s v="Snacks"/>
    <s v="Chips"/>
    <s v="Priya"/>
    <n v="5"/>
    <n v="30"/>
    <n v="150"/>
    <n v="400"/>
    <n v="0.375"/>
    <n v="-0.625"/>
  </r>
  <r>
    <x v="71"/>
    <x v="2"/>
    <s v="South"/>
    <s v="Snacks"/>
    <s v="Milk"/>
    <s v="Amit"/>
    <n v="15"/>
    <n v="40"/>
    <n v="600"/>
    <n v="400"/>
    <n v="1.5"/>
    <n v="0.5"/>
  </r>
  <r>
    <x v="72"/>
    <x v="2"/>
    <s v="North"/>
    <s v="Dairy"/>
    <s v="Chips"/>
    <s v="Raj"/>
    <n v="12"/>
    <n v="60"/>
    <n v="720"/>
    <n v="400"/>
    <n v="1.8"/>
    <n v="0.8"/>
  </r>
  <r>
    <x v="73"/>
    <x v="2"/>
    <s v="North"/>
    <s v="Dairy"/>
    <s v="Juice"/>
    <s v="Amit"/>
    <n v="7"/>
    <n v="25"/>
    <n v="175"/>
    <n v="400"/>
    <n v="0.4375"/>
    <n v="-0.5625"/>
  </r>
  <r>
    <x v="74"/>
    <x v="2"/>
    <s v="East"/>
    <s v="Snacks"/>
    <s v="Cheese"/>
    <s v="Priya"/>
    <n v="13"/>
    <n v="20"/>
    <n v="260"/>
    <n v="400"/>
    <n v="0.65"/>
    <n v="-0.35"/>
  </r>
  <r>
    <x v="75"/>
    <x v="2"/>
    <s v="North"/>
    <s v="Beverages"/>
    <s v="Soda"/>
    <s v="Priya"/>
    <n v="12"/>
    <n v="60"/>
    <n v="720"/>
    <n v="400"/>
    <n v="1.8"/>
    <n v="0.8"/>
  </r>
  <r>
    <x v="76"/>
    <x v="2"/>
    <s v="East"/>
    <s v="Snacks"/>
    <s v="Milk"/>
    <s v="Priya"/>
    <n v="7"/>
    <n v="60"/>
    <n v="420"/>
    <n v="400"/>
    <n v="1.05"/>
    <n v="0.05"/>
  </r>
  <r>
    <x v="77"/>
    <x v="2"/>
    <s v="North"/>
    <s v="Dairy"/>
    <s v="Milk"/>
    <s v="Neha"/>
    <n v="9"/>
    <n v="60"/>
    <n v="540"/>
    <n v="400"/>
    <n v="1.35"/>
    <n v="0.35"/>
  </r>
  <r>
    <x v="78"/>
    <x v="2"/>
    <s v="East"/>
    <s v="Beverages"/>
    <s v="Juice"/>
    <s v="Neha"/>
    <n v="13"/>
    <n v="40"/>
    <n v="520"/>
    <n v="400"/>
    <n v="1.3"/>
    <n v="0.3"/>
  </r>
  <r>
    <x v="79"/>
    <x v="2"/>
    <s v="West"/>
    <s v="Dairy"/>
    <s v="Biscuits"/>
    <s v="Amit"/>
    <n v="8"/>
    <n v="25"/>
    <n v="200"/>
    <n v="400"/>
    <n v="0.5"/>
    <n v="-0.5"/>
  </r>
  <r>
    <x v="80"/>
    <x v="2"/>
    <s v="East"/>
    <s v="Snacks"/>
    <s v="Cheese"/>
    <s v="Priya"/>
    <n v="6"/>
    <n v="25"/>
    <n v="150"/>
    <n v="400"/>
    <n v="0.375"/>
    <n v="-0.625"/>
  </r>
  <r>
    <x v="81"/>
    <x v="2"/>
    <s v="North"/>
    <s v="Snacks"/>
    <s v="Soda"/>
    <s v="Raj"/>
    <n v="10"/>
    <n v="25"/>
    <n v="250"/>
    <n v="400"/>
    <n v="0.625"/>
    <n v="-0.375"/>
  </r>
  <r>
    <x v="82"/>
    <x v="2"/>
    <s v="West"/>
    <s v="Dairy"/>
    <s v="Milk"/>
    <s v="Raj"/>
    <n v="15"/>
    <n v="20"/>
    <n v="300"/>
    <n v="400"/>
    <n v="0.75"/>
    <n v="-0.25"/>
  </r>
  <r>
    <x v="83"/>
    <x v="2"/>
    <s v="South"/>
    <s v="Snacks"/>
    <s v="Chips"/>
    <s v="Priya"/>
    <n v="6"/>
    <n v="30"/>
    <n v="180"/>
    <n v="400"/>
    <n v="0.45"/>
    <n v="-0.55000000000000004"/>
  </r>
  <r>
    <x v="84"/>
    <x v="2"/>
    <s v="South"/>
    <s v="Snacks"/>
    <s v="Biscuits"/>
    <s v="Amit"/>
    <n v="5"/>
    <n v="20"/>
    <n v="100"/>
    <n v="400"/>
    <n v="0.25"/>
    <n v="-0.75"/>
  </r>
  <r>
    <x v="85"/>
    <x v="2"/>
    <s v="East"/>
    <s v="Beverages"/>
    <s v="Chips"/>
    <s v="Priya"/>
    <n v="10"/>
    <n v="25"/>
    <n v="250"/>
    <n v="400"/>
    <n v="0.625"/>
    <n v="-0.375"/>
  </r>
  <r>
    <x v="86"/>
    <x v="2"/>
    <s v="West"/>
    <s v="Dairy"/>
    <s v="Milk"/>
    <s v="Amit"/>
    <n v="7"/>
    <n v="30"/>
    <n v="210"/>
    <n v="400"/>
    <n v="0.52500000000000002"/>
    <n v="-0.47499999999999998"/>
  </r>
  <r>
    <x v="87"/>
    <x v="2"/>
    <s v="East"/>
    <s v="Dairy"/>
    <s v="Chips"/>
    <s v="Neha"/>
    <n v="12"/>
    <n v="50"/>
    <n v="600"/>
    <n v="400"/>
    <n v="1.5"/>
    <n v="0.5"/>
  </r>
  <r>
    <x v="88"/>
    <x v="2"/>
    <s v="West"/>
    <s v="Beverages"/>
    <s v="Biscuits"/>
    <s v="Raj"/>
    <n v="13"/>
    <n v="25"/>
    <n v="325"/>
    <n v="400"/>
    <n v="0.8125"/>
    <n v="-0.1875"/>
  </r>
  <r>
    <x v="89"/>
    <x v="2"/>
    <s v="East"/>
    <s v="Dairy"/>
    <s v="Chips"/>
    <s v="Priya"/>
    <n v="10"/>
    <n v="40"/>
    <n v="400"/>
    <n v="400"/>
    <n v="1"/>
    <n v="0"/>
  </r>
  <r>
    <x v="90"/>
    <x v="2"/>
    <s v="South"/>
    <s v="Snacks"/>
    <s v="Biscuits"/>
    <s v="Raj"/>
    <n v="14"/>
    <n v="30"/>
    <n v="420"/>
    <n v="400"/>
    <n v="1.05"/>
    <n v="0.05"/>
  </r>
  <r>
    <x v="91"/>
    <x v="3"/>
    <s v="South"/>
    <s v="Beverages"/>
    <s v="Chips"/>
    <s v="Priya"/>
    <n v="15"/>
    <n v="40"/>
    <n v="600"/>
    <n v="400"/>
    <n v="1.5"/>
    <n v="0.5"/>
  </r>
  <r>
    <x v="92"/>
    <x v="3"/>
    <s v="North"/>
    <s v="Dairy"/>
    <s v="Cheese"/>
    <s v="Neha"/>
    <n v="15"/>
    <n v="60"/>
    <n v="900"/>
    <n v="400"/>
    <n v="2.25"/>
    <n v="1.25"/>
  </r>
  <r>
    <x v="93"/>
    <x v="3"/>
    <s v="North"/>
    <s v="Dairy"/>
    <s v="Milk"/>
    <s v="Raj"/>
    <n v="6"/>
    <n v="25"/>
    <n v="150"/>
    <n v="400"/>
    <n v="0.375"/>
    <n v="-0.625"/>
  </r>
  <r>
    <x v="94"/>
    <x v="3"/>
    <s v="West"/>
    <s v="Dairy"/>
    <s v="Milk"/>
    <s v="Amit"/>
    <n v="13"/>
    <n v="30"/>
    <n v="390"/>
    <n v="400"/>
    <n v="0.97499999999999998"/>
    <n v="-2.5000000000000001E-2"/>
  </r>
  <r>
    <x v="95"/>
    <x v="3"/>
    <s v="West"/>
    <s v="Snacks"/>
    <s v="Juice"/>
    <s v="Raj"/>
    <n v="5"/>
    <n v="50"/>
    <n v="250"/>
    <n v="400"/>
    <n v="0.625"/>
    <n v="-0.375"/>
  </r>
  <r>
    <x v="96"/>
    <x v="3"/>
    <s v="South"/>
    <s v="Snacks"/>
    <s v="Milk"/>
    <s v="Raj"/>
    <n v="8"/>
    <n v="40"/>
    <n v="320"/>
    <n v="400"/>
    <n v="0.8"/>
    <n v="-0.2"/>
  </r>
  <r>
    <x v="97"/>
    <x v="3"/>
    <s v="West"/>
    <s v="Dairy"/>
    <s v="Juice"/>
    <s v="Priya"/>
    <n v="15"/>
    <n v="50"/>
    <n v="750"/>
    <n v="400"/>
    <n v="1.875"/>
    <n v="0.875"/>
  </r>
  <r>
    <x v="98"/>
    <x v="3"/>
    <s v="North"/>
    <s v="Dairy"/>
    <s v="Chips"/>
    <s v="Amit"/>
    <n v="11"/>
    <n v="40"/>
    <n v="440"/>
    <n v="400"/>
    <n v="1.1000000000000001"/>
    <n v="0.1"/>
  </r>
  <r>
    <x v="99"/>
    <x v="3"/>
    <s v="North"/>
    <s v="Snacks"/>
    <s v="Biscuits"/>
    <s v="Neha"/>
    <n v="12"/>
    <n v="25"/>
    <n v="300"/>
    <n v="400"/>
    <n v="0.75"/>
    <n v="-0.25"/>
  </r>
  <r>
    <x v="100"/>
    <x v="3"/>
    <s v="South"/>
    <s v="Dairy"/>
    <s v="Chips"/>
    <s v="Raj"/>
    <n v="5"/>
    <n v="20"/>
    <n v="100"/>
    <n v="400"/>
    <n v="0.25"/>
    <n v="-0.75"/>
  </r>
  <r>
    <x v="101"/>
    <x v="3"/>
    <s v="South"/>
    <s v="Beverages"/>
    <s v="Chips"/>
    <s v="Raj"/>
    <n v="8"/>
    <n v="40"/>
    <n v="320"/>
    <n v="400"/>
    <n v="0.8"/>
    <n v="-0.2"/>
  </r>
  <r>
    <x v="102"/>
    <x v="3"/>
    <s v="West"/>
    <s v="Dairy"/>
    <s v="Cheese"/>
    <s v="Raj"/>
    <n v="15"/>
    <n v="40"/>
    <n v="600"/>
    <n v="400"/>
    <n v="1.5"/>
    <n v="0.5"/>
  </r>
  <r>
    <x v="103"/>
    <x v="3"/>
    <s v="West"/>
    <s v="Beverages"/>
    <s v="Cheese"/>
    <s v="Raj"/>
    <n v="8"/>
    <n v="30"/>
    <n v="240"/>
    <n v="400"/>
    <n v="0.6"/>
    <n v="-0.4"/>
  </r>
  <r>
    <x v="104"/>
    <x v="3"/>
    <s v="East"/>
    <s v="Beverages"/>
    <s v="Cheese"/>
    <s v="Priya"/>
    <n v="15"/>
    <n v="40"/>
    <n v="600"/>
    <n v="400"/>
    <n v="1.5"/>
    <n v="0.5"/>
  </r>
  <r>
    <x v="105"/>
    <x v="3"/>
    <s v="North"/>
    <s v="Dairy"/>
    <s v="Soda"/>
    <s v="Neha"/>
    <n v="12"/>
    <n v="30"/>
    <n v="360"/>
    <n v="400"/>
    <n v="0.9"/>
    <n v="-0.1"/>
  </r>
  <r>
    <x v="106"/>
    <x v="3"/>
    <s v="West"/>
    <s v="Snacks"/>
    <s v="Biscuits"/>
    <s v="Priya"/>
    <n v="6"/>
    <n v="40"/>
    <n v="240"/>
    <n v="400"/>
    <n v="0.6"/>
    <n v="-0.4"/>
  </r>
  <r>
    <x v="107"/>
    <x v="3"/>
    <s v="East"/>
    <s v="Snacks"/>
    <s v="Chips"/>
    <s v="Neha"/>
    <n v="13"/>
    <n v="50"/>
    <n v="650"/>
    <n v="400"/>
    <n v="1.625"/>
    <n v="0.625"/>
  </r>
  <r>
    <x v="108"/>
    <x v="3"/>
    <s v="South"/>
    <s v="Beverages"/>
    <s v="Chips"/>
    <s v="Priya"/>
    <n v="11"/>
    <n v="25"/>
    <n v="275"/>
    <n v="400"/>
    <n v="0.6875"/>
    <n v="-0.3125"/>
  </r>
  <r>
    <x v="109"/>
    <x v="3"/>
    <s v="West"/>
    <s v="Dairy"/>
    <s v="Biscuits"/>
    <s v="Priya"/>
    <n v="5"/>
    <n v="60"/>
    <n v="300"/>
    <n v="400"/>
    <n v="0.75"/>
    <n v="-0.25"/>
  </r>
  <r>
    <x v="110"/>
    <x v="3"/>
    <s v="South"/>
    <s v="Dairy"/>
    <s v="Soda"/>
    <s v="Raj"/>
    <n v="11"/>
    <n v="60"/>
    <n v="660"/>
    <n v="400"/>
    <n v="1.65"/>
    <n v="0.65"/>
  </r>
  <r>
    <x v="111"/>
    <x v="3"/>
    <s v="North"/>
    <s v="Beverages"/>
    <s v="Cheese"/>
    <s v="Priya"/>
    <n v="7"/>
    <n v="50"/>
    <n v="350"/>
    <n v="400"/>
    <n v="0.875"/>
    <n v="-0.125"/>
  </r>
  <r>
    <x v="112"/>
    <x v="3"/>
    <s v="South"/>
    <s v="Dairy"/>
    <s v="Chips"/>
    <s v="Priya"/>
    <n v="11"/>
    <n v="50"/>
    <n v="550"/>
    <n v="400"/>
    <n v="1.375"/>
    <n v="0.375"/>
  </r>
  <r>
    <x v="113"/>
    <x v="3"/>
    <s v="South"/>
    <s v="Snacks"/>
    <s v="Biscuits"/>
    <s v="Neha"/>
    <n v="8"/>
    <n v="20"/>
    <n v="160"/>
    <n v="400"/>
    <n v="0.4"/>
    <n v="-0.6"/>
  </r>
  <r>
    <x v="114"/>
    <x v="3"/>
    <s v="North"/>
    <s v="Snacks"/>
    <s v="Biscuits"/>
    <s v="Priya"/>
    <n v="11"/>
    <n v="25"/>
    <n v="275"/>
    <n v="400"/>
    <n v="0.6875"/>
    <n v="-0.3125"/>
  </r>
  <r>
    <x v="115"/>
    <x v="3"/>
    <s v="East"/>
    <s v="Beverages"/>
    <s v="Cheese"/>
    <s v="Priya"/>
    <n v="5"/>
    <n v="20"/>
    <n v="100"/>
    <n v="400"/>
    <n v="0.25"/>
    <n v="-0.75"/>
  </r>
  <r>
    <x v="116"/>
    <x v="3"/>
    <s v="South"/>
    <s v="Snacks"/>
    <s v="Chips"/>
    <s v="Neha"/>
    <n v="14"/>
    <n v="60"/>
    <n v="840"/>
    <n v="400"/>
    <n v="2.1"/>
    <n v="1.1000000000000001"/>
  </r>
  <r>
    <x v="117"/>
    <x v="3"/>
    <s v="West"/>
    <s v="Beverages"/>
    <s v="Milk"/>
    <s v="Raj"/>
    <n v="12"/>
    <n v="30"/>
    <n v="360"/>
    <n v="400"/>
    <n v="0.9"/>
    <n v="-0.1"/>
  </r>
  <r>
    <x v="118"/>
    <x v="3"/>
    <s v="East"/>
    <s v="Snacks"/>
    <s v="Biscuits"/>
    <s v="Raj"/>
    <n v="10"/>
    <n v="20"/>
    <n v="200"/>
    <n v="400"/>
    <n v="0.5"/>
    <n v="-0.5"/>
  </r>
  <r>
    <x v="119"/>
    <x v="3"/>
    <s v="West"/>
    <s v="Beverages"/>
    <s v="Soda"/>
    <s v="Neha"/>
    <n v="10"/>
    <n v="50"/>
    <n v="500"/>
    <n v="400"/>
    <n v="1.25"/>
    <n v="0.25"/>
  </r>
  <r>
    <x v="120"/>
    <x v="3"/>
    <s v="South"/>
    <s v="Dairy"/>
    <s v="Biscuits"/>
    <s v="Priya"/>
    <n v="7"/>
    <n v="60"/>
    <n v="420"/>
    <n v="400"/>
    <n v="1.05"/>
    <n v="0.05"/>
  </r>
  <r>
    <x v="121"/>
    <x v="4"/>
    <s v="South"/>
    <s v="Beverages"/>
    <s v="Juice"/>
    <s v="Raj"/>
    <n v="12"/>
    <n v="25"/>
    <n v="300"/>
    <n v="400"/>
    <n v="0.75"/>
    <n v="-0.25"/>
  </r>
  <r>
    <x v="122"/>
    <x v="4"/>
    <s v="South"/>
    <s v="Snacks"/>
    <s v="Juice"/>
    <s v="Raj"/>
    <n v="11"/>
    <n v="50"/>
    <n v="550"/>
    <n v="400"/>
    <n v="1.375"/>
    <n v="0.375"/>
  </r>
  <r>
    <x v="123"/>
    <x v="4"/>
    <s v="West"/>
    <s v="Beverages"/>
    <s v="Milk"/>
    <s v="Neha"/>
    <n v="6"/>
    <n v="20"/>
    <n v="120"/>
    <n v="400"/>
    <n v="0.3"/>
    <n v="-0.7"/>
  </r>
  <r>
    <x v="124"/>
    <x v="4"/>
    <s v="North"/>
    <s v="Dairy"/>
    <s v="Juice"/>
    <s v="Priya"/>
    <n v="6"/>
    <n v="25"/>
    <n v="150"/>
    <n v="400"/>
    <n v="0.375"/>
    <n v="-0.625"/>
  </r>
  <r>
    <x v="125"/>
    <x v="4"/>
    <s v="West"/>
    <s v="Dairy"/>
    <s v="Cheese"/>
    <s v="Neha"/>
    <n v="11"/>
    <n v="50"/>
    <n v="550"/>
    <n v="400"/>
    <n v="1.375"/>
    <n v="0.375"/>
  </r>
  <r>
    <x v="126"/>
    <x v="4"/>
    <s v="East"/>
    <s v="Snacks"/>
    <s v="Soda"/>
    <s v="Priya"/>
    <n v="9"/>
    <n v="25"/>
    <n v="225"/>
    <n v="400"/>
    <n v="0.5625"/>
    <n v="-0.4375"/>
  </r>
  <r>
    <x v="127"/>
    <x v="4"/>
    <s v="East"/>
    <s v="Dairy"/>
    <s v="Juice"/>
    <s v="Neha"/>
    <n v="11"/>
    <n v="40"/>
    <n v="440"/>
    <n v="400"/>
    <n v="1.1000000000000001"/>
    <n v="0.1"/>
  </r>
  <r>
    <x v="128"/>
    <x v="4"/>
    <s v="South"/>
    <s v="Snacks"/>
    <s v="Biscuits"/>
    <s v="Amit"/>
    <n v="14"/>
    <n v="50"/>
    <n v="700"/>
    <n v="400"/>
    <n v="1.75"/>
    <n v="0.75"/>
  </r>
  <r>
    <x v="129"/>
    <x v="4"/>
    <s v="West"/>
    <s v="Snacks"/>
    <s v="Chips"/>
    <s v="Raj"/>
    <n v="12"/>
    <n v="25"/>
    <n v="300"/>
    <n v="400"/>
    <n v="0.75"/>
    <n v="-0.25"/>
  </r>
  <r>
    <x v="130"/>
    <x v="4"/>
    <s v="North"/>
    <s v="Snacks"/>
    <s v="Cheese"/>
    <s v="Amit"/>
    <n v="11"/>
    <n v="60"/>
    <n v="660"/>
    <n v="400"/>
    <n v="1.65"/>
    <n v="0.65"/>
  </r>
  <r>
    <x v="131"/>
    <x v="4"/>
    <s v="East"/>
    <s v="Snacks"/>
    <s v="Soda"/>
    <s v="Amit"/>
    <n v="7"/>
    <n v="50"/>
    <n v="350"/>
    <n v="400"/>
    <n v="0.875"/>
    <n v="-0.125"/>
  </r>
  <r>
    <x v="132"/>
    <x v="4"/>
    <s v="East"/>
    <s v="Beverages"/>
    <s v="Biscuits"/>
    <s v="Priya"/>
    <n v="14"/>
    <n v="40"/>
    <n v="560"/>
    <n v="400"/>
    <n v="1.4"/>
    <n v="0.4"/>
  </r>
  <r>
    <x v="133"/>
    <x v="4"/>
    <s v="North"/>
    <s v="Dairy"/>
    <s v="Soda"/>
    <s v="Amit"/>
    <n v="10"/>
    <n v="30"/>
    <n v="300"/>
    <n v="400"/>
    <n v="0.75"/>
    <n v="-0.25"/>
  </r>
  <r>
    <x v="134"/>
    <x v="4"/>
    <s v="East"/>
    <s v="Beverages"/>
    <s v="Juice"/>
    <s v="Priya"/>
    <n v="13"/>
    <n v="20"/>
    <n v="260"/>
    <n v="400"/>
    <n v="0.65"/>
    <n v="-0.35"/>
  </r>
  <r>
    <x v="135"/>
    <x v="4"/>
    <s v="North"/>
    <s v="Beverages"/>
    <s v="Biscuits"/>
    <s v="Priya"/>
    <n v="13"/>
    <n v="60"/>
    <n v="780"/>
    <n v="400"/>
    <n v="1.95"/>
    <n v="0.95"/>
  </r>
  <r>
    <x v="136"/>
    <x v="4"/>
    <s v="East"/>
    <s v="Dairy"/>
    <s v="Milk"/>
    <s v="Raj"/>
    <n v="12"/>
    <n v="30"/>
    <n v="360"/>
    <n v="400"/>
    <n v="0.9"/>
    <n v="-0.1"/>
  </r>
  <r>
    <x v="137"/>
    <x v="4"/>
    <s v="East"/>
    <s v="Beverages"/>
    <s v="Cheese"/>
    <s v="Raj"/>
    <n v="7"/>
    <n v="50"/>
    <n v="350"/>
    <n v="400"/>
    <n v="0.875"/>
    <n v="-0.125"/>
  </r>
  <r>
    <x v="138"/>
    <x v="4"/>
    <s v="East"/>
    <s v="Beverages"/>
    <s v="Biscuits"/>
    <s v="Priya"/>
    <n v="12"/>
    <n v="20"/>
    <n v="240"/>
    <n v="400"/>
    <n v="0.6"/>
    <n v="-0.4"/>
  </r>
  <r>
    <x v="139"/>
    <x v="4"/>
    <s v="West"/>
    <s v="Dairy"/>
    <s v="Juice"/>
    <s v="Amit"/>
    <n v="15"/>
    <n v="60"/>
    <n v="900"/>
    <n v="400"/>
    <n v="2.25"/>
    <n v="1.25"/>
  </r>
  <r>
    <x v="140"/>
    <x v="4"/>
    <s v="South"/>
    <s v="Beverages"/>
    <s v="Biscuits"/>
    <s v="Amit"/>
    <n v="8"/>
    <n v="40"/>
    <n v="320"/>
    <n v="400"/>
    <n v="0.8"/>
    <n v="-0.2"/>
  </r>
  <r>
    <x v="141"/>
    <x v="4"/>
    <s v="East"/>
    <s v="Dairy"/>
    <s v="Chips"/>
    <s v="Amit"/>
    <n v="13"/>
    <n v="50"/>
    <n v="650"/>
    <n v="400"/>
    <n v="1.625"/>
    <n v="0.625"/>
  </r>
  <r>
    <x v="142"/>
    <x v="4"/>
    <s v="West"/>
    <s v="Beverages"/>
    <s v="Biscuits"/>
    <s v="Raj"/>
    <n v="6"/>
    <n v="40"/>
    <n v="240"/>
    <n v="400"/>
    <n v="0.6"/>
    <n v="-0.4"/>
  </r>
  <r>
    <x v="143"/>
    <x v="4"/>
    <s v="North"/>
    <s v="Dairy"/>
    <s v="Biscuits"/>
    <s v="Raj"/>
    <n v="9"/>
    <n v="40"/>
    <n v="360"/>
    <n v="400"/>
    <n v="0.9"/>
    <n v="-0.1"/>
  </r>
  <r>
    <x v="144"/>
    <x v="4"/>
    <s v="South"/>
    <s v="Beverages"/>
    <s v="Biscuits"/>
    <s v="Raj"/>
    <n v="6"/>
    <n v="60"/>
    <n v="360"/>
    <n v="400"/>
    <n v="0.9"/>
    <n v="-0.1"/>
  </r>
  <r>
    <x v="145"/>
    <x v="4"/>
    <s v="East"/>
    <s v="Dairy"/>
    <s v="Chips"/>
    <s v="Amit"/>
    <n v="15"/>
    <n v="25"/>
    <n v="375"/>
    <n v="400"/>
    <n v="0.9375"/>
    <n v="-6.25E-2"/>
  </r>
  <r>
    <x v="146"/>
    <x v="4"/>
    <s v="South"/>
    <s v="Snacks"/>
    <s v="Cheese"/>
    <s v="Raj"/>
    <n v="15"/>
    <n v="30"/>
    <n v="450"/>
    <n v="400"/>
    <n v="1.125"/>
    <n v="0.125"/>
  </r>
  <r>
    <x v="147"/>
    <x v="4"/>
    <s v="East"/>
    <s v="Beverages"/>
    <s v="Milk"/>
    <s v="Amit"/>
    <n v="12"/>
    <n v="30"/>
    <n v="360"/>
    <n v="400"/>
    <n v="0.9"/>
    <n v="-0.1"/>
  </r>
  <r>
    <x v="148"/>
    <x v="4"/>
    <s v="South"/>
    <s v="Beverages"/>
    <s v="Milk"/>
    <s v="Raj"/>
    <n v="7"/>
    <n v="25"/>
    <n v="175"/>
    <n v="400"/>
    <n v="0.4375"/>
    <n v="-0.5625"/>
  </r>
  <r>
    <x v="149"/>
    <x v="4"/>
    <s v="North"/>
    <s v="Snacks"/>
    <s v="Milk"/>
    <s v="Neha"/>
    <n v="8"/>
    <n v="25"/>
    <n v="200"/>
    <n v="400"/>
    <n v="0.5"/>
    <n v="-0.5"/>
  </r>
  <r>
    <x v="150"/>
    <x v="4"/>
    <s v="West"/>
    <s v="Snacks"/>
    <s v="Chips"/>
    <s v="Priya"/>
    <n v="13"/>
    <n v="60"/>
    <n v="780"/>
    <n v="400"/>
    <n v="1.95"/>
    <n v="0.95"/>
  </r>
  <r>
    <x v="151"/>
    <x v="4"/>
    <s v="East"/>
    <s v="Dairy"/>
    <s v="Juice"/>
    <s v="Neha"/>
    <n v="14"/>
    <n v="30"/>
    <n v="420"/>
    <n v="400"/>
    <n v="1.05"/>
    <n v="0.05"/>
  </r>
  <r>
    <x v="152"/>
    <x v="5"/>
    <s v="South"/>
    <s v="Beverages"/>
    <s v="Soda"/>
    <s v="Priya"/>
    <n v="9"/>
    <n v="60"/>
    <n v="540"/>
    <n v="400"/>
    <n v="1.35"/>
    <n v="0.35"/>
  </r>
  <r>
    <x v="153"/>
    <x v="5"/>
    <s v="East"/>
    <s v="Dairy"/>
    <s v="Biscuits"/>
    <s v="Raj"/>
    <n v="15"/>
    <n v="60"/>
    <n v="900"/>
    <n v="400"/>
    <n v="2.25"/>
    <n v="1.25"/>
  </r>
  <r>
    <x v="154"/>
    <x v="5"/>
    <s v="West"/>
    <s v="Snacks"/>
    <s v="Chips"/>
    <s v="Raj"/>
    <n v="10"/>
    <n v="30"/>
    <n v="300"/>
    <n v="400"/>
    <n v="0.75"/>
    <n v="-0.25"/>
  </r>
  <r>
    <x v="155"/>
    <x v="5"/>
    <s v="East"/>
    <s v="Snacks"/>
    <s v="Soda"/>
    <s v="Amit"/>
    <n v="7"/>
    <n v="40"/>
    <n v="280"/>
    <n v="400"/>
    <n v="0.7"/>
    <n v="-0.3"/>
  </r>
  <r>
    <x v="156"/>
    <x v="5"/>
    <s v="South"/>
    <s v="Beverages"/>
    <s v="Biscuits"/>
    <s v="Neha"/>
    <n v="7"/>
    <n v="60"/>
    <n v="420"/>
    <n v="400"/>
    <n v="1.05"/>
    <n v="0.05"/>
  </r>
  <r>
    <x v="157"/>
    <x v="5"/>
    <s v="South"/>
    <s v="Dairy"/>
    <s v="Milk"/>
    <s v="Priya"/>
    <n v="6"/>
    <n v="50"/>
    <n v="300"/>
    <n v="400"/>
    <n v="0.75"/>
    <n v="-0.25"/>
  </r>
  <r>
    <x v="158"/>
    <x v="5"/>
    <s v="West"/>
    <s v="Beverages"/>
    <s v="Biscuits"/>
    <s v="Neha"/>
    <n v="10"/>
    <n v="20"/>
    <n v="200"/>
    <n v="400"/>
    <n v="0.5"/>
    <n v="-0.5"/>
  </r>
  <r>
    <x v="159"/>
    <x v="5"/>
    <s v="North"/>
    <s v="Dairy"/>
    <s v="Biscuits"/>
    <s v="Neha"/>
    <n v="9"/>
    <n v="20"/>
    <n v="180"/>
    <n v="400"/>
    <n v="0.45"/>
    <n v="-0.55000000000000004"/>
  </r>
  <r>
    <x v="160"/>
    <x v="5"/>
    <s v="East"/>
    <s v="Snacks"/>
    <s v="Juice"/>
    <s v="Neha"/>
    <n v="10"/>
    <n v="25"/>
    <n v="250"/>
    <n v="400"/>
    <n v="0.625"/>
    <n v="-0.375"/>
  </r>
  <r>
    <x v="161"/>
    <x v="5"/>
    <s v="South"/>
    <s v="Dairy"/>
    <s v="Juice"/>
    <s v="Priya"/>
    <n v="7"/>
    <n v="50"/>
    <n v="350"/>
    <n v="400"/>
    <n v="0.875"/>
    <n v="-0.125"/>
  </r>
  <r>
    <x v="162"/>
    <x v="5"/>
    <s v="North"/>
    <s v="Snacks"/>
    <s v="Biscuits"/>
    <s v="Amit"/>
    <n v="15"/>
    <n v="50"/>
    <n v="750"/>
    <n v="400"/>
    <n v="1.875"/>
    <n v="0.875"/>
  </r>
  <r>
    <x v="163"/>
    <x v="5"/>
    <s v="West"/>
    <s v="Dairy"/>
    <s v="Soda"/>
    <s v="Raj"/>
    <n v="11"/>
    <n v="30"/>
    <n v="330"/>
    <n v="400"/>
    <n v="0.82499999999999996"/>
    <n v="-0.17499999999999999"/>
  </r>
  <r>
    <x v="164"/>
    <x v="5"/>
    <s v="South"/>
    <s v="Dairy"/>
    <s v="Juice"/>
    <s v="Raj"/>
    <n v="6"/>
    <n v="60"/>
    <n v="360"/>
    <n v="400"/>
    <n v="0.9"/>
    <n v="-0.1"/>
  </r>
  <r>
    <x v="165"/>
    <x v="5"/>
    <s v="South"/>
    <s v="Snacks"/>
    <s v="Biscuits"/>
    <s v="Amit"/>
    <n v="5"/>
    <n v="30"/>
    <n v="150"/>
    <n v="400"/>
    <n v="0.375"/>
    <n v="-0.625"/>
  </r>
  <r>
    <x v="166"/>
    <x v="5"/>
    <s v="South"/>
    <s v="Beverages"/>
    <s v="Juice"/>
    <s v="Priya"/>
    <n v="13"/>
    <n v="60"/>
    <n v="780"/>
    <n v="400"/>
    <n v="1.95"/>
    <n v="0.95"/>
  </r>
  <r>
    <x v="167"/>
    <x v="5"/>
    <s v="West"/>
    <s v="Dairy"/>
    <s v="Cheese"/>
    <s v="Raj"/>
    <n v="7"/>
    <n v="30"/>
    <n v="210"/>
    <n v="400"/>
    <n v="0.52500000000000002"/>
    <n v="-0.47499999999999998"/>
  </r>
  <r>
    <x v="168"/>
    <x v="5"/>
    <s v="South"/>
    <s v="Dairy"/>
    <s v="Soda"/>
    <s v="Priya"/>
    <n v="14"/>
    <n v="60"/>
    <n v="840"/>
    <n v="400"/>
    <n v="2.1"/>
    <n v="1.1000000000000001"/>
  </r>
  <r>
    <x v="169"/>
    <x v="5"/>
    <s v="South"/>
    <s v="Beverages"/>
    <s v="Juice"/>
    <s v="Neha"/>
    <n v="5"/>
    <n v="60"/>
    <n v="300"/>
    <n v="400"/>
    <n v="0.75"/>
    <n v="-0.25"/>
  </r>
  <r>
    <x v="170"/>
    <x v="5"/>
    <s v="North"/>
    <s v="Dairy"/>
    <s v="Cheese"/>
    <s v="Neha"/>
    <n v="14"/>
    <n v="25"/>
    <n v="350"/>
    <n v="400"/>
    <n v="0.875"/>
    <n v="-0.125"/>
  </r>
  <r>
    <x v="171"/>
    <x v="5"/>
    <s v="North"/>
    <s v="Beverages"/>
    <s v="Cheese"/>
    <s v="Neha"/>
    <n v="9"/>
    <n v="60"/>
    <n v="540"/>
    <n v="400"/>
    <n v="1.35"/>
    <n v="0.35"/>
  </r>
  <r>
    <x v="172"/>
    <x v="5"/>
    <s v="East"/>
    <s v="Snacks"/>
    <s v="Soda"/>
    <s v="Raj"/>
    <n v="7"/>
    <n v="40"/>
    <n v="280"/>
    <n v="400"/>
    <n v="0.7"/>
    <n v="-0.3"/>
  </r>
  <r>
    <x v="173"/>
    <x v="5"/>
    <s v="West"/>
    <s v="Snacks"/>
    <s v="Milk"/>
    <s v="Neha"/>
    <n v="7"/>
    <n v="20"/>
    <n v="140"/>
    <n v="400"/>
    <n v="0.35"/>
    <n v="-0.65"/>
  </r>
  <r>
    <x v="174"/>
    <x v="5"/>
    <s v="South"/>
    <s v="Beverages"/>
    <s v="Milk"/>
    <s v="Raj"/>
    <n v="6"/>
    <n v="40"/>
    <n v="240"/>
    <n v="400"/>
    <n v="0.6"/>
    <n v="-0.4"/>
  </r>
  <r>
    <x v="175"/>
    <x v="5"/>
    <s v="North"/>
    <s v="Dairy"/>
    <s v="Soda"/>
    <s v="Neha"/>
    <n v="14"/>
    <n v="60"/>
    <n v="840"/>
    <n v="400"/>
    <n v="2.1"/>
    <n v="1.1000000000000001"/>
  </r>
  <r>
    <x v="176"/>
    <x v="5"/>
    <s v="South"/>
    <s v="Beverages"/>
    <s v="Cheese"/>
    <s v="Priya"/>
    <n v="10"/>
    <n v="40"/>
    <n v="400"/>
    <n v="400"/>
    <n v="1"/>
    <n v="0"/>
  </r>
  <r>
    <x v="177"/>
    <x v="5"/>
    <s v="West"/>
    <s v="Dairy"/>
    <s v="Cheese"/>
    <s v="Priya"/>
    <n v="14"/>
    <n v="60"/>
    <n v="840"/>
    <n v="400"/>
    <n v="2.1"/>
    <n v="1.1000000000000001"/>
  </r>
  <r>
    <x v="178"/>
    <x v="5"/>
    <s v="South"/>
    <s v="Snacks"/>
    <s v="Milk"/>
    <s v="Raj"/>
    <n v="10"/>
    <n v="25"/>
    <n v="250"/>
    <n v="400"/>
    <n v="0.625"/>
    <n v="-0.375"/>
  </r>
  <r>
    <x v="179"/>
    <x v="5"/>
    <s v="East"/>
    <s v="Dairy"/>
    <s v="Soda"/>
    <s v="Priya"/>
    <n v="13"/>
    <n v="30"/>
    <n v="390"/>
    <n v="400"/>
    <n v="0.97499999999999998"/>
    <n v="-2.5000000000000001E-2"/>
  </r>
  <r>
    <x v="180"/>
    <x v="5"/>
    <s v="East"/>
    <s v="Dairy"/>
    <s v="Chips"/>
    <s v="Neha"/>
    <n v="14"/>
    <n v="40"/>
    <n v="560"/>
    <n v="400"/>
    <n v="1.4"/>
    <n v="0.4"/>
  </r>
  <r>
    <x v="181"/>
    <x v="5"/>
    <s v="East"/>
    <s v="Dairy"/>
    <s v="Soda"/>
    <s v="Raj"/>
    <n v="9"/>
    <n v="30"/>
    <n v="270"/>
    <n v="400"/>
    <n v="0.67500000000000004"/>
    <n v="-0.32500000000000001"/>
  </r>
  <r>
    <x v="182"/>
    <x v="6"/>
    <s v="West"/>
    <s v="Dairy"/>
    <s v="Milk"/>
    <s v="Raj"/>
    <n v="13"/>
    <n v="60"/>
    <n v="780"/>
    <n v="400"/>
    <n v="1.95"/>
    <n v="0.95"/>
  </r>
  <r>
    <x v="183"/>
    <x v="6"/>
    <s v="West"/>
    <s v="Beverages"/>
    <s v="Milk"/>
    <s v="Neha"/>
    <n v="5"/>
    <n v="25"/>
    <n v="125"/>
    <n v="400"/>
    <n v="0.3125"/>
    <n v="-0.6875"/>
  </r>
  <r>
    <x v="184"/>
    <x v="6"/>
    <s v="East"/>
    <s v="Beverages"/>
    <s v="Soda"/>
    <s v="Raj"/>
    <n v="5"/>
    <n v="25"/>
    <n v="125"/>
    <n v="400"/>
    <n v="0.3125"/>
    <n v="-0.6875"/>
  </r>
  <r>
    <x v="185"/>
    <x v="6"/>
    <s v="South"/>
    <s v="Snacks"/>
    <s v="Soda"/>
    <s v="Neha"/>
    <n v="15"/>
    <n v="25"/>
    <n v="375"/>
    <n v="400"/>
    <n v="0.9375"/>
    <n v="-6.25E-2"/>
  </r>
  <r>
    <x v="186"/>
    <x v="6"/>
    <s v="West"/>
    <s v="Snacks"/>
    <s v="Chips"/>
    <s v="Raj"/>
    <n v="7"/>
    <n v="30"/>
    <n v="210"/>
    <n v="400"/>
    <n v="0.52500000000000002"/>
    <n v="-0.47499999999999998"/>
  </r>
  <r>
    <x v="187"/>
    <x v="6"/>
    <s v="North"/>
    <s v="Beverages"/>
    <s v="Milk"/>
    <s v="Raj"/>
    <n v="12"/>
    <n v="20"/>
    <n v="240"/>
    <n v="400"/>
    <n v="0.6"/>
    <n v="-0.4"/>
  </r>
  <r>
    <x v="188"/>
    <x v="6"/>
    <s v="North"/>
    <s v="Beverages"/>
    <s v="Juice"/>
    <s v="Priya"/>
    <n v="9"/>
    <n v="20"/>
    <n v="180"/>
    <n v="400"/>
    <n v="0.45"/>
    <n v="-0.55000000000000004"/>
  </r>
  <r>
    <x v="189"/>
    <x v="6"/>
    <s v="East"/>
    <s v="Snacks"/>
    <s v="Cheese"/>
    <s v="Raj"/>
    <n v="9"/>
    <n v="20"/>
    <n v="180"/>
    <n v="400"/>
    <n v="0.45"/>
    <n v="-0.55000000000000004"/>
  </r>
  <r>
    <x v="190"/>
    <x v="6"/>
    <s v="North"/>
    <s v="Snacks"/>
    <s v="Biscuits"/>
    <s v="Raj"/>
    <n v="12"/>
    <n v="30"/>
    <n v="360"/>
    <n v="400"/>
    <n v="0.9"/>
    <n v="-0.1"/>
  </r>
  <r>
    <x v="191"/>
    <x v="6"/>
    <s v="South"/>
    <s v="Beverages"/>
    <s v="Biscuits"/>
    <s v="Priya"/>
    <n v="5"/>
    <n v="30"/>
    <n v="150"/>
    <n v="400"/>
    <n v="0.375"/>
    <n v="-0.625"/>
  </r>
  <r>
    <x v="192"/>
    <x v="6"/>
    <s v="North"/>
    <s v="Dairy"/>
    <s v="Biscuits"/>
    <s v="Neha"/>
    <n v="10"/>
    <n v="40"/>
    <n v="400"/>
    <n v="400"/>
    <n v="1"/>
    <n v="0"/>
  </r>
  <r>
    <x v="193"/>
    <x v="6"/>
    <s v="South"/>
    <s v="Snacks"/>
    <s v="Soda"/>
    <s v="Priya"/>
    <n v="11"/>
    <n v="30"/>
    <n v="330"/>
    <n v="400"/>
    <n v="0.82499999999999996"/>
    <n v="-0.17499999999999999"/>
  </r>
  <r>
    <x v="194"/>
    <x v="6"/>
    <s v="North"/>
    <s v="Dairy"/>
    <s v="Cheese"/>
    <s v="Neha"/>
    <n v="10"/>
    <n v="20"/>
    <n v="200"/>
    <n v="400"/>
    <n v="0.5"/>
    <n v="-0.5"/>
  </r>
  <r>
    <x v="195"/>
    <x v="6"/>
    <s v="South"/>
    <s v="Dairy"/>
    <s v="Biscuits"/>
    <s v="Raj"/>
    <n v="14"/>
    <n v="30"/>
    <n v="420"/>
    <n v="400"/>
    <n v="1.05"/>
    <n v="0.05"/>
  </r>
  <r>
    <x v="196"/>
    <x v="6"/>
    <s v="West"/>
    <s v="Snacks"/>
    <s v="Milk"/>
    <s v="Raj"/>
    <n v="14"/>
    <n v="50"/>
    <n v="700"/>
    <n v="400"/>
    <n v="1.75"/>
    <n v="0.75"/>
  </r>
  <r>
    <x v="197"/>
    <x v="6"/>
    <s v="South"/>
    <s v="Snacks"/>
    <s v="Chips"/>
    <s v="Raj"/>
    <n v="6"/>
    <n v="40"/>
    <n v="240"/>
    <n v="400"/>
    <n v="0.6"/>
    <n v="-0.4"/>
  </r>
  <r>
    <x v="198"/>
    <x v="6"/>
    <s v="East"/>
    <s v="Dairy"/>
    <s v="Juice"/>
    <s v="Neha"/>
    <n v="9"/>
    <n v="50"/>
    <n v="450"/>
    <n v="400"/>
    <n v="1.125"/>
    <n v="0.125"/>
  </r>
  <r>
    <x v="199"/>
    <x v="6"/>
    <s v="East"/>
    <s v="Beverages"/>
    <s v="Cheese"/>
    <s v="Neha"/>
    <n v="13"/>
    <n v="40"/>
    <n v="520"/>
    <n v="400"/>
    <n v="1.3"/>
    <n v="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3BD267A-6A2A-4307-A0BB-20F6DE8765CD}" name="PivotTable3" cacheId="511" applyNumberFormats="0" applyBorderFormats="0" applyFontFormats="0" applyPatternFormats="0" applyAlignmentFormats="0" applyWidthHeightFormats="1" dataCaption="Values" tag="e0c49a5f-01cd-41a1-850a-5b0c5f091ea6" updatedVersion="8" minRefreshableVersion="3" subtotalHiddenItems="1" itemPrintTitles="1" createdVersion="8" indent="0" outline="1" outlineData="1" multipleFieldFilters="0" rowHeaderCaption="Sales Person">
  <location ref="I12:J17" firstHeaderRow="1" firstDataRow="1" firstDataCol="1"/>
  <pivotFields count="2">
    <pivotField dataField="1" subtotalTop="0" showAll="0" defaultSubtotal="0"/>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1"/>
  </rowFields>
  <rowItems count="5">
    <i>
      <x v="2"/>
    </i>
    <i>
      <x v="1"/>
    </i>
    <i>
      <x/>
    </i>
    <i>
      <x v="3"/>
    </i>
    <i t="grand">
      <x/>
    </i>
  </rowItems>
  <colItems count="1">
    <i/>
  </colItems>
  <dataFields count="1">
    <dataField name="Away  from Target%" fld="0" baseField="0" baseItem="0" numFmtId="2"/>
  </dataFields>
  <formats count="9">
    <format dxfId="24">
      <pivotArea outline="0" collapsedLevelsAreSubtotals="1" fieldPosition="0"/>
    </format>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0"/>
        </references>
      </pivotArea>
    </format>
    <format dxfId="19">
      <pivotArea dataOnly="0" labelOnly="1" grandRow="1" outline="0" fieldPosition="0"/>
    </format>
    <format dxfId="18">
      <pivotArea dataOnly="0" labelOnly="1" outline="0" axis="axisValues" fieldPosition="0"/>
    </format>
    <format dxfId="17">
      <pivotArea grandRow="1" outline="0" collapsedLevelsAreSubtotals="1" fieldPosition="0"/>
    </format>
    <format dxfId="16">
      <pivotArea dataOnly="0" labelOnly="1" grandRow="1" outline="0" fieldPosition="0"/>
    </format>
  </formats>
  <pivotHierarchies count="3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way  from Target%"/>
    <pivotHierarchy dragToData="1"/>
    <pivotHierarchy dragToData="1"/>
  </pivotHierarchies>
  <pivotTableStyleInfo name="PivotStyleMedium2"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EE933D-B3A5-48F5-94BA-FFD5F68D7014}" name="PivotTable6" cacheId="514" applyNumberFormats="0" applyBorderFormats="0" applyFontFormats="0" applyPatternFormats="0" applyAlignmentFormats="0" applyWidthHeightFormats="1" dataCaption="Values" tag="12d2610f-6312-40d0-9739-b12d674b86f0" updatedVersion="8" minRefreshableVersion="3" subtotalHiddenItems="1" colGrandTotals="0" itemPrintTitles="1" createdVersion="8" indent="0" outline="1" outlineData="1" multipleFieldFilters="0" chartFormat="13" rowHeaderCaption="Categories" colHeaderCaption="Regions">
  <location ref="F20:J25" firstHeaderRow="1" firstDataRow="2" firstDataCol="1"/>
  <pivotFields count="3">
    <pivotField axis="axisRow" allDrilled="1" subtotalTop="0" showAll="0" sortType="descending" defaultSubtotal="0" defaultAttributeDrillState="1">
      <items count="3">
        <item x="0"/>
        <item x="1"/>
        <item x="2"/>
      </items>
      <autoSortScope>
        <pivotArea dataOnly="0" outline="0" fieldPosition="0">
          <references count="2">
            <reference field="4294967294" count="1" selected="0">
              <x v="0"/>
            </reference>
            <reference field="1" count="1" selected="0">
              <x v="0"/>
            </reference>
          </references>
        </pivotArea>
      </autoSortScope>
    </pivotField>
    <pivotField axis="axisCol"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4">
    <i>
      <x v="2"/>
    </i>
    <i>
      <x v="1"/>
    </i>
    <i>
      <x/>
    </i>
    <i t="grand">
      <x/>
    </i>
  </rowItems>
  <colFields count="1">
    <field x="1"/>
  </colFields>
  <colItems count="4">
    <i>
      <x/>
    </i>
    <i>
      <x v="1"/>
    </i>
    <i>
      <x v="2"/>
    </i>
    <i>
      <x v="3"/>
    </i>
  </colItems>
  <dataFields count="1">
    <dataField name="Total Sales" fld="2" baseField="0" baseItem="0"/>
  </dataFields>
  <formats count="12">
    <format dxfId="36">
      <pivotArea dataOnly="0" labelOnly="1" fieldPosition="0">
        <references count="1">
          <reference field="1" count="0"/>
        </references>
      </pivotArea>
    </format>
    <format dxfId="35">
      <pivotArea type="all" dataOnly="0" outline="0" fieldPosition="0"/>
    </format>
    <format dxfId="34">
      <pivotArea outline="0" collapsedLevelsAreSubtotals="1" fieldPosition="0"/>
    </format>
    <format dxfId="33">
      <pivotArea type="origin" dataOnly="0" labelOnly="1" outline="0" fieldPosition="0"/>
    </format>
    <format dxfId="32">
      <pivotArea field="1" type="button" dataOnly="0" labelOnly="1" outline="0" axis="axisCol" fieldPosition="0"/>
    </format>
    <format dxfId="31">
      <pivotArea type="topRight" dataOnly="0" labelOnly="1" outline="0" fieldPosition="0"/>
    </format>
    <format dxfId="30">
      <pivotArea field="0" type="button" dataOnly="0" labelOnly="1" outline="0" axis="axisRow" fieldPosition="0"/>
    </format>
    <format dxfId="29">
      <pivotArea dataOnly="0" labelOnly="1" fieldPosition="0">
        <references count="1">
          <reference field="0" count="0"/>
        </references>
      </pivotArea>
    </format>
    <format dxfId="28">
      <pivotArea dataOnly="0" labelOnly="1" grandRow="1" outline="0" fieldPosition="0"/>
    </format>
    <format dxfId="27">
      <pivotArea dataOnly="0" labelOnly="1" fieldPosition="0">
        <references count="1">
          <reference field="1" count="0"/>
        </references>
      </pivotArea>
    </format>
    <format dxfId="26">
      <pivotArea grandRow="1" outline="0" collapsedLevelsAreSubtotals="1" fieldPosition="0"/>
    </format>
    <format dxfId="25">
      <pivotArea dataOnly="0" labelOnly="1" grandRow="1" outline="0" fieldPosition="0"/>
    </format>
  </formats>
  <chartFormats count="5">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1">
          <reference field="4294967294" count="1" selected="0">
            <x v="0"/>
          </reference>
        </references>
      </pivotArea>
    </chartFormat>
  </chartFormats>
  <pivotHierarchies count="3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Total Sales"/>
    <pivotHierarchy dragToData="1"/>
    <pivotHierarchy dragToData="1"/>
    <pivotHierarchy dragToData="1"/>
  </pivotHierarchies>
  <pivotTableStyleInfo name="PivotStyleMedium13" showRowHeaders="1" showColHeaders="1" showRowStripes="0" showColStripes="0" showLastColumn="1"/>
  <rowHierarchiesUsage count="1">
    <rowHierarchyUsage hierarchyUsage="2"/>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83A726-A8E0-4919-9E57-24A9A6A2ABDD}" name="PivotTable8"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1" rowHeaderCaption="Month">
  <location ref="O12:P19" firstHeaderRow="1" firstDataRow="1" firstDataCol="1"/>
  <pivotFields count="12">
    <pivotField showAll="0">
      <items count="201">
        <item x="0"/>
        <item x="31"/>
        <item x="60"/>
        <item x="91"/>
        <item x="121"/>
        <item x="152"/>
        <item x="182"/>
        <item x="1"/>
        <item x="32"/>
        <item x="61"/>
        <item x="92"/>
        <item x="122"/>
        <item x="153"/>
        <item x="183"/>
        <item x="2"/>
        <item x="33"/>
        <item x="62"/>
        <item x="93"/>
        <item x="123"/>
        <item x="154"/>
        <item x="184"/>
        <item x="3"/>
        <item x="34"/>
        <item x="63"/>
        <item x="94"/>
        <item x="124"/>
        <item x="155"/>
        <item x="185"/>
        <item x="4"/>
        <item x="35"/>
        <item x="64"/>
        <item x="95"/>
        <item x="125"/>
        <item x="156"/>
        <item x="186"/>
        <item x="5"/>
        <item x="36"/>
        <item x="65"/>
        <item x="96"/>
        <item x="126"/>
        <item x="157"/>
        <item x="187"/>
        <item x="6"/>
        <item x="37"/>
        <item x="66"/>
        <item x="97"/>
        <item x="127"/>
        <item x="158"/>
        <item x="188"/>
        <item x="7"/>
        <item x="38"/>
        <item x="67"/>
        <item x="98"/>
        <item x="128"/>
        <item x="159"/>
        <item x="189"/>
        <item x="8"/>
        <item x="39"/>
        <item x="68"/>
        <item x="99"/>
        <item x="129"/>
        <item x="160"/>
        <item x="190"/>
        <item x="9"/>
        <item x="40"/>
        <item x="69"/>
        <item x="100"/>
        <item x="130"/>
        <item x="161"/>
        <item x="191"/>
        <item x="10"/>
        <item x="41"/>
        <item x="70"/>
        <item x="101"/>
        <item x="131"/>
        <item x="162"/>
        <item x="192"/>
        <item x="11"/>
        <item x="42"/>
        <item x="71"/>
        <item x="102"/>
        <item x="132"/>
        <item x="163"/>
        <item x="193"/>
        <item x="12"/>
        <item x="43"/>
        <item x="72"/>
        <item x="103"/>
        <item x="133"/>
        <item x="164"/>
        <item x="194"/>
        <item x="13"/>
        <item x="44"/>
        <item x="73"/>
        <item x="104"/>
        <item x="134"/>
        <item x="165"/>
        <item x="195"/>
        <item x="14"/>
        <item x="45"/>
        <item x="74"/>
        <item x="105"/>
        <item x="135"/>
        <item x="166"/>
        <item x="196"/>
        <item x="15"/>
        <item x="46"/>
        <item x="75"/>
        <item x="106"/>
        <item x="136"/>
        <item x="167"/>
        <item x="197"/>
        <item x="16"/>
        <item x="47"/>
        <item x="76"/>
        <item x="107"/>
        <item x="137"/>
        <item x="168"/>
        <item x="198"/>
        <item x="17"/>
        <item x="48"/>
        <item x="77"/>
        <item x="108"/>
        <item x="138"/>
        <item x="169"/>
        <item x="199"/>
        <item x="18"/>
        <item x="49"/>
        <item x="78"/>
        <item x="109"/>
        <item x="139"/>
        <item x="170"/>
        <item x="19"/>
        <item x="50"/>
        <item x="79"/>
        <item x="110"/>
        <item x="140"/>
        <item x="171"/>
        <item x="20"/>
        <item x="51"/>
        <item x="80"/>
        <item x="111"/>
        <item x="141"/>
        <item x="172"/>
        <item x="21"/>
        <item x="52"/>
        <item x="81"/>
        <item x="112"/>
        <item x="142"/>
        <item x="173"/>
        <item x="22"/>
        <item x="53"/>
        <item x="82"/>
        <item x="113"/>
        <item x="143"/>
        <item x="174"/>
        <item x="23"/>
        <item x="54"/>
        <item x="83"/>
        <item x="114"/>
        <item x="144"/>
        <item x="175"/>
        <item x="24"/>
        <item x="55"/>
        <item x="84"/>
        <item x="115"/>
        <item x="145"/>
        <item x="176"/>
        <item x="25"/>
        <item x="56"/>
        <item x="85"/>
        <item x="116"/>
        <item x="146"/>
        <item x="177"/>
        <item x="26"/>
        <item x="57"/>
        <item x="86"/>
        <item x="117"/>
        <item x="147"/>
        <item x="178"/>
        <item x="27"/>
        <item x="58"/>
        <item x="87"/>
        <item x="118"/>
        <item x="148"/>
        <item x="179"/>
        <item x="28"/>
        <item x="59"/>
        <item x="88"/>
        <item x="119"/>
        <item x="149"/>
        <item x="180"/>
        <item x="29"/>
        <item x="89"/>
        <item x="120"/>
        <item x="150"/>
        <item x="181"/>
        <item x="30"/>
        <item x="90"/>
        <item x="151"/>
        <item t="default"/>
      </items>
    </pivotField>
    <pivotField axis="axisRow" showAll="0" sortType="descending">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7">
    <i>
      <x v="4"/>
    </i>
    <i>
      <x v="5"/>
    </i>
    <i>
      <x v="3"/>
    </i>
    <i>
      <x v="2"/>
    </i>
    <i>
      <x/>
    </i>
    <i>
      <x v="1"/>
    </i>
    <i>
      <x v="6"/>
    </i>
  </rowItems>
  <colItems count="1">
    <i/>
  </colItems>
  <dataFields count="1">
    <dataField name="Total Sales" fld="8" baseField="1" baseItem="4"/>
  </dataFields>
  <formats count="5">
    <format dxfId="41">
      <pivotArea type="all" dataOnly="0" outline="0" fieldPosition="0"/>
    </format>
    <format dxfId="40">
      <pivotArea outline="0" collapsedLevelsAreSubtotals="1" fieldPosition="0"/>
    </format>
    <format dxfId="39">
      <pivotArea field="1" type="button" dataOnly="0" labelOnly="1" outline="0" axis="axisRow" fieldPosition="0"/>
    </format>
    <format dxfId="38">
      <pivotArea dataOnly="0" labelOnly="1" fieldPosition="0">
        <references count="1">
          <reference field="1" count="0"/>
        </references>
      </pivotArea>
    </format>
    <format dxfId="3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D822C25-76B9-4564-88A1-B672D5009341}" name="PivotTable4" cacheId="517" applyNumberFormats="0" applyBorderFormats="0" applyFontFormats="0" applyPatternFormats="0" applyAlignmentFormats="0" applyWidthHeightFormats="1" dataCaption="Values" tag="75a07ea9-8abb-44ee-87d4-1a53e2c6bc57" updatedVersion="8" minRefreshableVersion="3" subtotalHiddenItems="1" itemPrintTitles="1" createdVersion="8" indent="0" outline="1" outlineData="1" multipleFieldFilters="0" chartFormat="13" rowHeaderCaption="Region">
  <location ref="L12:M17" firstHeaderRow="1" firstDataRow="1" firstDataCol="1"/>
  <pivotFields count="2">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5">
    <i>
      <x/>
    </i>
    <i>
      <x v="2"/>
    </i>
    <i>
      <x v="3"/>
    </i>
    <i>
      <x v="1"/>
    </i>
    <i t="grand">
      <x/>
    </i>
  </rowItems>
  <colItems count="1">
    <i/>
  </colItems>
  <dataFields count="1">
    <dataField name="Total Sales" fld="1" baseField="0" baseItem="0"/>
  </dataFields>
  <formats count="8">
    <format dxfId="49">
      <pivotArea type="all" dataOnly="0" outline="0" fieldPosition="0"/>
    </format>
    <format dxfId="48">
      <pivotArea outline="0" collapsedLevelsAreSubtotals="1" fieldPosition="0"/>
    </format>
    <format dxfId="47">
      <pivotArea field="0" type="button" dataOnly="0" labelOnly="1" outline="0" axis="axisRow" fieldPosition="0"/>
    </format>
    <format dxfId="46">
      <pivotArea dataOnly="0" labelOnly="1" fieldPosition="0">
        <references count="1">
          <reference field="0" count="0"/>
        </references>
      </pivotArea>
    </format>
    <format dxfId="45">
      <pivotArea dataOnly="0" labelOnly="1" grandRow="1" outline="0" fieldPosition="0"/>
    </format>
    <format dxfId="44">
      <pivotArea dataOnly="0" labelOnly="1" outline="0" axis="axisValues" fieldPosition="0"/>
    </format>
    <format dxfId="43">
      <pivotArea grandRow="1" outline="0" collapsedLevelsAreSubtotals="1" fieldPosition="0"/>
    </format>
    <format dxfId="42">
      <pivotArea dataOnly="0" labelOnly="1" grandRow="1" outline="0" fieldPosition="0"/>
    </format>
  </formats>
  <chartFormats count="5">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2"/>
          </reference>
        </references>
      </pivotArea>
    </chartFormat>
    <chartFormat chart="2" format="2">
      <pivotArea type="data" outline="0" fieldPosition="0">
        <references count="2">
          <reference field="4294967294" count="1" selected="0">
            <x v="0"/>
          </reference>
          <reference field="0" count="1" selected="0">
            <x v="3"/>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2" format="4">
      <pivotArea type="data" outline="0" fieldPosition="0">
        <references count="2">
          <reference field="4294967294" count="1" selected="0">
            <x v="0"/>
          </reference>
          <reference field="0" count="1" selected="0">
            <x v="0"/>
          </reference>
        </references>
      </pivotArea>
    </chartFormat>
  </chartFormats>
  <pivotHierarchies count="3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Total Sales"/>
    <pivotHierarchy dragToData="1"/>
    <pivotHierarchy dragToData="1" caption="Total Quantity"/>
    <pivotHierarchy dragToData="1"/>
  </pivotHierarchies>
  <pivotTableStyleInfo name="PivotStyleMedium10"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83F706-F9FD-4740-9696-70932B625196}" name="PivotTable5" cacheId="520" applyNumberFormats="0" applyBorderFormats="0" applyFontFormats="0" applyPatternFormats="0" applyAlignmentFormats="0" applyWidthHeightFormats="1" dataCaption="Values" tag="c738a9f4-3c0c-4691-aa32-4c41ca5a2e5a" updatedVersion="8" minRefreshableVersion="3" subtotalHiddenItems="1" itemPrintTitles="1" createdVersion="8" indent="0" outline="1" outlineData="1" multipleFieldFilters="0" chartFormat="28" rowHeaderCaption="Categories">
  <location ref="L20:N24" firstHeaderRow="0" firstDataRow="1" firstDataCol="1"/>
  <pivotFields count="3">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s>
  <rowFields count="1">
    <field x="0"/>
  </rowFields>
  <rowItems count="4">
    <i>
      <x v="1"/>
    </i>
    <i>
      <x v="2"/>
    </i>
    <i>
      <x/>
    </i>
    <i t="grand">
      <x/>
    </i>
  </rowItems>
  <colFields count="1">
    <field x="-2"/>
  </colFields>
  <colItems count="2">
    <i>
      <x/>
    </i>
    <i i="1">
      <x v="1"/>
    </i>
  </colItems>
  <dataFields count="2">
    <dataField name="Total Quantity" fld="2" baseField="0" baseItem="0"/>
    <dataField name="Total Sales" fld="1" baseField="0" baseItem="0"/>
  </dataFields>
  <formats count="8">
    <format dxfId="57">
      <pivotArea type="all" dataOnly="0" outline="0" fieldPosition="0"/>
    </format>
    <format dxfId="56">
      <pivotArea outline="0" collapsedLevelsAreSubtotals="1" fieldPosition="0"/>
    </format>
    <format dxfId="55">
      <pivotArea field="0" type="button" dataOnly="0" labelOnly="1" outline="0" axis="axisRow" fieldPosition="0"/>
    </format>
    <format dxfId="54">
      <pivotArea dataOnly="0" labelOnly="1" fieldPosition="0">
        <references count="1">
          <reference field="0" count="0"/>
        </references>
      </pivotArea>
    </format>
    <format dxfId="53">
      <pivotArea dataOnly="0" labelOnly="1" grandRow="1" outline="0" fieldPosition="0"/>
    </format>
    <format dxfId="52">
      <pivotArea dataOnly="0" labelOnly="1" outline="0" fieldPosition="0">
        <references count="1">
          <reference field="4294967294" count="2">
            <x v="0"/>
            <x v="1"/>
          </reference>
        </references>
      </pivotArea>
    </format>
    <format dxfId="51">
      <pivotArea grandRow="1" outline="0" collapsedLevelsAreSubtotals="1" fieldPosition="0"/>
    </format>
    <format dxfId="50">
      <pivotArea dataOnly="0" labelOnly="1" grandRow="1" outline="0" fieldPosition="0"/>
    </format>
  </format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9"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1"/>
          </reference>
          <reference field="0" count="1" selected="0">
            <x v="1"/>
          </reference>
        </references>
      </pivotArea>
    </chartFormat>
    <chartFormat chart="0" format="3">
      <pivotArea type="data" outline="0" fieldPosition="0">
        <references count="2">
          <reference field="4294967294" count="1" selected="0">
            <x v="1"/>
          </reference>
          <reference field="0" count="1" selected="0">
            <x v="2"/>
          </reference>
        </references>
      </pivotArea>
    </chartFormat>
    <chartFormat chart="0" format="4">
      <pivotArea type="data" outline="0" fieldPosition="0">
        <references count="2">
          <reference field="4294967294" count="1" selected="0">
            <x v="1"/>
          </reference>
          <reference field="0" count="1" selected="0">
            <x v="0"/>
          </reference>
        </references>
      </pivotArea>
    </chartFormat>
  </chartFormats>
  <pivotHierarchies count="3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Total Sales"/>
    <pivotHierarchy dragToData="1"/>
    <pivotHierarchy dragToData="1" caption="Total Quantity"/>
    <pivotHierarchy dragToData="1"/>
  </pivotHierarchies>
  <pivotTableStyleInfo name="PivotStyleMedium14"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208439F-08CF-4C1E-9998-8D333C0A5CE0}" name="PivotTable2" cacheId="523" applyNumberFormats="0" applyBorderFormats="0" applyFontFormats="0" applyPatternFormats="0" applyAlignmentFormats="0" applyWidthHeightFormats="1" dataCaption="Values" tag="e0113936-9ef8-4b56-b168-ec35ec8dffaf" updatedVersion="8" minRefreshableVersion="3" subtotalHiddenItems="1" itemPrintTitles="1" createdVersion="8" indent="0" outline="1" outlineData="1" multipleFieldFilters="0" chartFormat="15" rowHeaderCaption="Sales Person">
  <location ref="C12:D17" firstHeaderRow="1" firstDataRow="1" firstDataCol="1"/>
  <pivotFields count="2">
    <pivotField dataField="1" subtotalTop="0" showAll="0" defaultSubtotal="0"/>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1"/>
  </rowFields>
  <rowItems count="5">
    <i>
      <x v="3"/>
    </i>
    <i>
      <x v="2"/>
    </i>
    <i>
      <x v="1"/>
    </i>
    <i>
      <x/>
    </i>
    <i t="grand">
      <x/>
    </i>
  </rowItems>
  <colItems count="1">
    <i/>
  </colItems>
  <dataFields count="1">
    <dataField name="Total Sales" fld="0" baseField="1" baseItem="0"/>
  </dataFields>
  <formats count="8">
    <format dxfId="65">
      <pivotArea type="all" dataOnly="0" outline="0" fieldPosition="0"/>
    </format>
    <format dxfId="64">
      <pivotArea outline="0" collapsedLevelsAreSubtotals="1" fieldPosition="0"/>
    </format>
    <format dxfId="63">
      <pivotArea field="1" type="button" dataOnly="0" labelOnly="1" outline="0" axis="axisRow" fieldPosition="0"/>
    </format>
    <format dxfId="62">
      <pivotArea dataOnly="0" labelOnly="1" fieldPosition="0">
        <references count="1">
          <reference field="1" count="0"/>
        </references>
      </pivotArea>
    </format>
    <format dxfId="61">
      <pivotArea dataOnly="0" labelOnly="1" grandRow="1" outline="0" fieldPosition="0"/>
    </format>
    <format dxfId="60">
      <pivotArea dataOnly="0" labelOnly="1" outline="0" axis="axisValues" fieldPosition="0"/>
    </format>
    <format dxfId="59">
      <pivotArea grandRow="1" outline="0" collapsedLevelsAreSubtotals="1" fieldPosition="0"/>
    </format>
    <format dxfId="58">
      <pivotArea dataOnly="0" labelOnly="1" grandRow="1" outline="0"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s>
  <pivotHierarchies count="3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Total Sales"/>
    <pivotHierarchy dragToData="1"/>
    <pivotHierarchy dragToData="1"/>
    <pivotHierarchy dragToData="1"/>
  </pivotHierarchies>
  <pivotTableStyleInfo name="PivotStyleMedium2" showRowHeaders="1" showColHeaders="1" showRowStripes="1" showColStripes="1"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3F08798-FACC-4BB0-B461-2C1D5F3A2DEE}" name="PivotTable1" cacheId="526" applyNumberFormats="0" applyBorderFormats="0" applyFontFormats="0" applyPatternFormats="0" applyAlignmentFormats="0" applyWidthHeightFormats="1" dataCaption="Values" tag="fefa2a62-6129-46e9-95f1-e366e3a84eb7" updatedVersion="8" minRefreshableVersion="3" subtotalHiddenItems="1" itemPrintTitles="1" createdVersion="8" indent="0" outline="1" outlineData="1" multipleFieldFilters="0" chartFormat="12" rowHeaderCaption="Sales Person">
  <location ref="F12:G17" firstHeaderRow="1" firstDataRow="1" firstDataCol="1"/>
  <pivotFields count="2">
    <pivotField dataField="1" subtotalTop="0" showAll="0" defaultSubtotal="0"/>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1"/>
  </rowFields>
  <rowItems count="5">
    <i>
      <x v="3"/>
    </i>
    <i>
      <x v="2"/>
    </i>
    <i>
      <x v="1"/>
    </i>
    <i>
      <x/>
    </i>
    <i t="grand">
      <x/>
    </i>
  </rowItems>
  <colItems count="1">
    <i/>
  </colItems>
  <dataFields count="1">
    <dataField name="Target Hit %" fld="0" baseField="0" baseItem="0" numFmtId="2"/>
  </dataFields>
  <formats count="8">
    <format dxfId="73">
      <pivotArea outline="0" collapsedLevelsAreSubtotals="1" fieldPosition="0"/>
    </format>
    <format dxfId="72">
      <pivotArea type="all" dataOnly="0" outline="0" fieldPosition="0"/>
    </format>
    <format dxfId="71">
      <pivotArea outline="0" collapsedLevelsAreSubtotals="1" fieldPosition="0"/>
    </format>
    <format dxfId="70">
      <pivotArea field="1" type="button" dataOnly="0" labelOnly="1" outline="0" axis="axisRow" fieldPosition="0"/>
    </format>
    <format dxfId="69">
      <pivotArea dataOnly="0" labelOnly="1" fieldPosition="0">
        <references count="1">
          <reference field="1" count="0"/>
        </references>
      </pivotArea>
    </format>
    <format dxfId="68">
      <pivotArea dataOnly="0" labelOnly="1" grandRow="1" outline="0" fieldPosition="0"/>
    </format>
    <format dxfId="67">
      <pivotArea dataOnly="0" labelOnly="1" outline="0" axis="axisValues" fieldPosition="0"/>
    </format>
    <format dxfId="66">
      <pivotArea dataOnly="0" grandRow="1"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2"/>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 chart="0" format="4">
      <pivotArea type="data" outline="0" fieldPosition="0">
        <references count="2">
          <reference field="4294967294" count="1" selected="0">
            <x v="0"/>
          </reference>
          <reference field="1" count="1" selected="0">
            <x v="0"/>
          </reference>
        </references>
      </pivotArea>
    </chartFormat>
  </chartFormats>
  <pivotHierarchies count="3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Target Hit %"/>
    <pivotHierarchy dragToData="1"/>
    <pivotHierarchy dragToData="1"/>
    <pivotHierarchy dragToData="1"/>
    <pivotHierarchy dragToData="1"/>
  </pivotHierarchies>
  <pivotTableStyleInfo name="PivotStyleMedium10"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xlsx!SalesTable">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7D6D813-D52F-4C75-BB39-6E15B4CC269F}" name="PivotTable7" cacheId="529" applyNumberFormats="0" applyBorderFormats="0" applyFontFormats="0" applyPatternFormats="0" applyAlignmentFormats="0" applyWidthHeightFormats="1" dataCaption="Values" tag="7f0c497e-c477-4e28-b9e1-16de4fde99eb" updatedVersion="8" minRefreshableVersion="3" subtotalHiddenItems="1" itemPrintTitles="1" createdVersion="8" indent="0" outline="1" outlineData="1" multipleFieldFilters="0" chartFormat="9" rowHeaderCaption="Products">
  <location ref="C19:D26" firstHeaderRow="1" firstDataRow="1" firstDataCol="1"/>
  <pivotFields count="2">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7">
    <i>
      <x v="2"/>
    </i>
    <i>
      <x/>
    </i>
    <i>
      <x v="5"/>
    </i>
    <i>
      <x v="1"/>
    </i>
    <i>
      <x v="4"/>
    </i>
    <i>
      <x v="3"/>
    </i>
    <i t="grand">
      <x/>
    </i>
  </rowItems>
  <colItems count="1">
    <i/>
  </colItems>
  <dataFields count="1">
    <dataField name="Total Sales" fld="1" baseField="0" baseItem="0"/>
  </dataFields>
  <formats count="8">
    <format dxfId="81">
      <pivotArea type="all" dataOnly="0" outline="0" fieldPosition="0"/>
    </format>
    <format dxfId="80">
      <pivotArea outline="0" collapsedLevelsAreSubtotals="1" fieldPosition="0"/>
    </format>
    <format dxfId="79">
      <pivotArea field="0" type="button" dataOnly="0" labelOnly="1" outline="0" axis="axisRow" fieldPosition="0"/>
    </format>
    <format dxfId="78">
      <pivotArea dataOnly="0" labelOnly="1" fieldPosition="0">
        <references count="1">
          <reference field="0" count="0"/>
        </references>
      </pivotArea>
    </format>
    <format dxfId="77">
      <pivotArea dataOnly="0" labelOnly="1" grandRow="1" outline="0" fieldPosition="0"/>
    </format>
    <format dxfId="76">
      <pivotArea dataOnly="0" labelOnly="1" outline="0" axis="axisValues" fieldPosition="0"/>
    </format>
    <format dxfId="75">
      <pivotArea grandRow="1" outline="0" collapsedLevelsAreSubtotals="1" fieldPosition="0"/>
    </format>
    <format dxfId="74">
      <pivotArea dataOnly="0" labelOnly="1" grandRow="1" outline="0" fieldPosition="0"/>
    </format>
  </format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3"/>
          </reference>
        </references>
      </pivotArea>
    </chartFormat>
    <chartFormat chart="0" format="4">
      <pivotArea type="data" outline="0" fieldPosition="0">
        <references count="2">
          <reference field="4294967294" count="1" selected="0">
            <x v="0"/>
          </reference>
          <reference field="0" count="1" selected="0">
            <x v="4"/>
          </reference>
        </references>
      </pivotArea>
    </chartFormat>
    <chartFormat chart="0" format="5">
      <pivotArea type="data" outline="0" fieldPosition="0">
        <references count="2">
          <reference field="4294967294" count="1" selected="0">
            <x v="0"/>
          </reference>
          <reference field="0" count="1" selected="0">
            <x v="2"/>
          </reference>
        </references>
      </pivotArea>
    </chartFormat>
    <chartFormat chart="0" format="6">
      <pivotArea type="data" outline="0" fieldPosition="0">
        <references count="2">
          <reference field="4294967294" count="1" selected="0">
            <x v="0"/>
          </reference>
          <reference field="0" count="1" selected="0">
            <x v="5"/>
          </reference>
        </references>
      </pivotArea>
    </chartFormat>
  </chartFormats>
  <pivotHierarchies count="3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Total Sales"/>
    <pivotHierarchy dragToData="1"/>
    <pivotHierarchy dragToData="1"/>
    <pivotHierarchy dragToData="1"/>
  </pivotHierarchies>
  <pivotTableStyleInfo name="PivotStyleMedium10"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0238552B-E4C7-4431-9C7F-37B07E055C54}" sourceName="[SalesTable].[SalesPerson]">
  <pivotTables>
    <pivotTable tabId="8" name="PivotTable1"/>
    <pivotTable tabId="8" name="PivotTable2"/>
    <pivotTable tabId="8" name="PivotTable3"/>
    <pivotTable tabId="8" name="PivotTable4"/>
    <pivotTable tabId="8" name="PivotTable5"/>
    <pivotTable tabId="8" name="PivotTable6"/>
    <pivotTable tabId="8" name="PivotTable7"/>
  </pivotTables>
  <data>
    <olap pivotCacheId="1833672434">
      <levels count="2">
        <level uniqueName="[SalesTable].[SalesPerson].[(All)]" sourceCaption="(All)" count="0"/>
        <level uniqueName="[SalesTable].[SalesPerson].[SalesPerson]" sourceCaption="SalesPerson" count="4">
          <ranges>
            <range startItem="0">
              <i n="[SalesTable].[SalesPerson].&amp;[Amit]" c="Amit"/>
              <i n="[SalesTable].[SalesPerson].&amp;[Neha]" c="Neha"/>
              <i n="[SalesTable].[SalesPerson].&amp;[Priya]" c="Priya"/>
              <i n="[SalesTable].[SalesPerson].&amp;[Raj]" c="Raj"/>
            </range>
          </ranges>
        </level>
      </levels>
      <selections count="1">
        <selection n="[SalesTable].[SalesPers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99EC814-821A-4208-AAFB-6C300CBBBAA1}" sourceName="[SalesTable].[Region]">
  <pivotTables>
    <pivotTable tabId="8" name="PivotTable1"/>
    <pivotTable tabId="8" name="PivotTable2"/>
    <pivotTable tabId="8" name="PivotTable3"/>
    <pivotTable tabId="8" name="PivotTable4"/>
    <pivotTable tabId="8" name="PivotTable5"/>
    <pivotTable tabId="8" name="PivotTable6"/>
    <pivotTable tabId="8" name="PivotTable7"/>
  </pivotTables>
  <data>
    <olap pivotCacheId="1833672434">
      <levels count="2">
        <level uniqueName="[SalesTable].[Region].[(All)]" sourceCaption="(All)" count="0"/>
        <level uniqueName="[SalesTable].[Region].[Region]" sourceCaption="Region" count="4">
          <ranges>
            <range startItem="0">
              <i n="[SalesTable].[Region].&amp;[East]" c="East"/>
              <i n="[SalesTable].[Region].&amp;[North]" c="North"/>
              <i n="[SalesTable].[Region].&amp;[South]" c="South"/>
              <i n="[SalesTable].[Region].&amp;[West]" c="West"/>
            </range>
          </ranges>
        </level>
      </levels>
      <selections count="1">
        <selection n="[SalesTable].[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FF20BCC-3B56-47C1-B106-1D31FDD1447A}" sourceName="[SalesTable].[Category]">
  <pivotTables>
    <pivotTable tabId="8" name="PivotTable1"/>
    <pivotTable tabId="8" name="PivotTable2"/>
    <pivotTable tabId="8" name="PivotTable3"/>
    <pivotTable tabId="8" name="PivotTable4"/>
    <pivotTable tabId="8" name="PivotTable5"/>
    <pivotTable tabId="8" name="PivotTable6"/>
    <pivotTable tabId="8" name="PivotTable7"/>
  </pivotTables>
  <data>
    <olap pivotCacheId="1833672434">
      <levels count="2">
        <level uniqueName="[SalesTable].[Category].[(All)]" sourceCaption="(All)" count="0"/>
        <level uniqueName="[SalesTable].[Category].[Category]" sourceCaption="Category" count="3">
          <ranges>
            <range startItem="0">
              <i n="[SalesTable].[Category].&amp;[Beverages]" c="Beverages"/>
              <i n="[SalesTable].[Category].&amp;[Dairy]" c="Dairy"/>
              <i n="[SalesTable].[Category].&amp;[Snacks]" c="Snacks"/>
            </range>
          </ranges>
        </level>
      </levels>
      <selections count="1">
        <selection n="[SalesTable].[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Person" xr10:uid="{F07E5243-6B68-4851-9D07-A7E56881E920}" cache="Slicer_SalesPerson" caption="SalesPerson" columnCount="4" showCaption="0" level="1" style="Slicer Style 1" lockedPosition="1" rowHeight="247650"/>
  <slicer name="Region" xr10:uid="{4713F0A1-AEF4-4C40-A5EF-B5FF5885316B}" cache="Slicer_Region" caption="Region" columnCount="4" showCaption="0" level="1" style="Slicer Style 1" lockedPosition="1" rowHeight="247650"/>
  <slicer name="Category" xr10:uid="{8A52892C-780A-41DD-A5A1-D45D19D22789}" cache="Slicer_Category" caption="Category" columnCount="3" showCaption="0" level="1" style="Slicer Style 1" lockedPosition="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C6F5BDF-9142-4B35-9AD0-697BCA269A4F}" name="Table2" displayName="Table2" ref="A1:L201" totalsRowShown="0" headerRowDxfId="15" headerRowBorderDxfId="14" tableBorderDxfId="13" totalsRowBorderDxfId="12">
  <autoFilter ref="A1:L201" xr:uid="{2C6F5BDF-9142-4B35-9AD0-697BCA269A4F}"/>
  <tableColumns count="12">
    <tableColumn id="1" xr3:uid="{341922F7-7777-4C5A-98A3-73063373C943}" name="Date" dataDxfId="11"/>
    <tableColumn id="12" xr3:uid="{CAF9435E-6D40-488C-99A3-7E0DAB204D21}" name="Month" dataDxfId="10">
      <calculatedColumnFormula>TEXT(Table2[[#This Row],[Date]],"mmmm")</calculatedColumnFormula>
    </tableColumn>
    <tableColumn id="2" xr3:uid="{A3243425-0BAD-49C4-BAD4-C76E6C11F932}" name="Region" dataDxfId="9"/>
    <tableColumn id="3" xr3:uid="{7F2E7B62-780A-4450-9D9C-4C30D8BAF12D}" name="Category" dataDxfId="8"/>
    <tableColumn id="4" xr3:uid="{58C28CAA-46CF-44C7-8132-63D7925CB004}" name="Product" dataDxfId="7"/>
    <tableColumn id="5" xr3:uid="{0C19AF68-EFDD-4888-8806-B1C252FFD705}" name="SalesPerson" dataDxfId="6"/>
    <tableColumn id="6" xr3:uid="{0992052E-F588-4778-A9D1-0985C020CBC8}" name="Quantity" dataDxfId="5"/>
    <tableColumn id="7" xr3:uid="{46012C37-DA78-41BE-8AE2-5246B5C6AC30}" name="Price" dataDxfId="4"/>
    <tableColumn id="8" xr3:uid="{1C9E5041-5C0D-49E6-99B9-4CC9187E434B}" name="Sales" dataDxfId="3"/>
    <tableColumn id="9" xr3:uid="{0408961C-D353-49DC-BF2D-7A6CCEBDF76C}" name="Target" dataDxfId="2"/>
    <tableColumn id="10" xr3:uid="{D3F77F01-601B-4C8B-A33C-DD42C721FE05}" name="Target Hit %" dataDxfId="1">
      <calculatedColumnFormula>(I2/J2)</calculatedColumnFormula>
    </tableColumn>
    <tableColumn id="11" xr3:uid="{0A586012-F9AF-4654-BFC7-DAD07E9A06A4}" name="Away  from Target%" dataDxfId="0">
      <calculatedColumnFormula>(I2-J2)/J2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99694-D361-402A-8871-87A4BD496FE5}">
  <sheetPr codeName="Sheet2"/>
  <dimension ref="A1:L201"/>
  <sheetViews>
    <sheetView workbookViewId="0">
      <selection activeCell="A2" sqref="A2"/>
    </sheetView>
  </sheetViews>
  <sheetFormatPr defaultRowHeight="14.4"/>
  <cols>
    <col min="1" max="1" width="10.33203125" style="10" bestFit="1" customWidth="1"/>
    <col min="2" max="2" width="8.44140625" style="10" customWidth="1"/>
    <col min="3" max="3" width="10.21875" customWidth="1"/>
    <col min="4" max="4" width="9.44140625" customWidth="1"/>
    <col min="5" max="5" width="13.109375" customWidth="1"/>
    <col min="6" max="6" width="10" customWidth="1"/>
    <col min="7" max="7" width="7.21875" customWidth="1"/>
    <col min="8" max="8" width="7.44140625" customWidth="1"/>
    <col min="9" max="9" width="8" customWidth="1"/>
    <col min="10" max="10" width="12.77734375" customWidth="1"/>
    <col min="11" max="11" width="18.77734375" customWidth="1"/>
  </cols>
  <sheetData>
    <row r="1" spans="1:12">
      <c r="A1" s="9" t="s">
        <v>0</v>
      </c>
      <c r="B1" s="9" t="s">
        <v>234</v>
      </c>
      <c r="C1" s="2" t="s">
        <v>1</v>
      </c>
      <c r="D1" s="2" t="s">
        <v>2</v>
      </c>
      <c r="E1" s="2" t="s">
        <v>3</v>
      </c>
      <c r="F1" s="2" t="s">
        <v>4</v>
      </c>
      <c r="G1" s="2" t="s">
        <v>5</v>
      </c>
      <c r="H1" s="2" t="s">
        <v>6</v>
      </c>
      <c r="I1" s="2" t="s">
        <v>7</v>
      </c>
      <c r="J1" s="2" t="s">
        <v>31</v>
      </c>
      <c r="K1" s="2" t="s">
        <v>32</v>
      </c>
      <c r="L1" s="3" t="s">
        <v>233</v>
      </c>
    </row>
    <row r="2" spans="1:12">
      <c r="A2" s="7" t="s">
        <v>232</v>
      </c>
      <c r="B2" s="7" t="str">
        <f>TEXT(Table2[[#This Row],[Date]],"mmmm")</f>
        <v>January</v>
      </c>
      <c r="C2" s="1" t="s">
        <v>19</v>
      </c>
      <c r="D2" s="1" t="s">
        <v>9</v>
      </c>
      <c r="E2" s="1" t="s">
        <v>10</v>
      </c>
      <c r="F2" s="1" t="s">
        <v>15</v>
      </c>
      <c r="G2" s="1">
        <v>13</v>
      </c>
      <c r="H2" s="1">
        <v>20</v>
      </c>
      <c r="I2" s="1">
        <v>260</v>
      </c>
      <c r="J2" s="1">
        <v>400</v>
      </c>
      <c r="K2" s="5">
        <f t="shared" ref="K2:K65" si="0">(I2/J2)</f>
        <v>0.65</v>
      </c>
      <c r="L2" s="6">
        <f t="shared" ref="L2:L65" si="1">(I2-J2)/J2</f>
        <v>-0.35</v>
      </c>
    </row>
    <row r="3" spans="1:12">
      <c r="A3" s="7" t="s">
        <v>231</v>
      </c>
      <c r="B3" s="7" t="str">
        <f>TEXT(Table2[[#This Row],[Date]],"mmmm")</f>
        <v>January</v>
      </c>
      <c r="C3" s="1" t="s">
        <v>16</v>
      </c>
      <c r="D3" s="1" t="s">
        <v>9</v>
      </c>
      <c r="E3" s="1" t="s">
        <v>14</v>
      </c>
      <c r="F3" s="1" t="s">
        <v>15</v>
      </c>
      <c r="G3" s="1">
        <v>6</v>
      </c>
      <c r="H3" s="1">
        <v>20</v>
      </c>
      <c r="I3" s="1">
        <v>120</v>
      </c>
      <c r="J3" s="1">
        <v>400</v>
      </c>
      <c r="K3" s="5">
        <f t="shared" si="0"/>
        <v>0.3</v>
      </c>
      <c r="L3" s="6">
        <f t="shared" si="1"/>
        <v>-0.7</v>
      </c>
    </row>
    <row r="4" spans="1:12">
      <c r="A4" s="7" t="s">
        <v>230</v>
      </c>
      <c r="B4" s="7" t="str">
        <f>TEXT(Table2[[#This Row],[Date]],"mmmm")</f>
        <v>January</v>
      </c>
      <c r="C4" s="1" t="s">
        <v>8</v>
      </c>
      <c r="D4" s="1" t="s">
        <v>9</v>
      </c>
      <c r="E4" s="1" t="s">
        <v>14</v>
      </c>
      <c r="F4" s="1" t="s">
        <v>18</v>
      </c>
      <c r="G4" s="1">
        <v>11</v>
      </c>
      <c r="H4" s="1">
        <v>30</v>
      </c>
      <c r="I4" s="1">
        <v>330</v>
      </c>
      <c r="J4" s="1">
        <v>400</v>
      </c>
      <c r="K4" s="5">
        <f t="shared" si="0"/>
        <v>0.82499999999999996</v>
      </c>
      <c r="L4" s="6">
        <f t="shared" si="1"/>
        <v>-0.17499999999999999</v>
      </c>
    </row>
    <row r="5" spans="1:12">
      <c r="A5" s="7" t="s">
        <v>229</v>
      </c>
      <c r="B5" s="7" t="str">
        <f>TEXT(Table2[[#This Row],[Date]],"mmmm")</f>
        <v>January</v>
      </c>
      <c r="C5" s="1" t="s">
        <v>12</v>
      </c>
      <c r="D5" s="1" t="s">
        <v>9</v>
      </c>
      <c r="E5" s="1" t="s">
        <v>21</v>
      </c>
      <c r="F5" s="1" t="s">
        <v>22</v>
      </c>
      <c r="G5" s="1">
        <v>14</v>
      </c>
      <c r="H5" s="1">
        <v>25</v>
      </c>
      <c r="I5" s="1">
        <v>350</v>
      </c>
      <c r="J5" s="1">
        <v>400</v>
      </c>
      <c r="K5" s="5">
        <f t="shared" si="0"/>
        <v>0.875</v>
      </c>
      <c r="L5" s="6">
        <f t="shared" si="1"/>
        <v>-0.125</v>
      </c>
    </row>
    <row r="6" spans="1:12">
      <c r="A6" s="7" t="s">
        <v>228</v>
      </c>
      <c r="B6" s="7" t="str">
        <f>TEXT(Table2[[#This Row],[Date]],"mmmm")</f>
        <v>January</v>
      </c>
      <c r="C6" s="1" t="s">
        <v>12</v>
      </c>
      <c r="D6" s="1" t="s">
        <v>9</v>
      </c>
      <c r="E6" s="1" t="s">
        <v>23</v>
      </c>
      <c r="F6" s="1" t="s">
        <v>18</v>
      </c>
      <c r="G6" s="1">
        <v>15</v>
      </c>
      <c r="H6" s="1">
        <v>60</v>
      </c>
      <c r="I6" s="1">
        <v>900</v>
      </c>
      <c r="J6" s="1">
        <v>400</v>
      </c>
      <c r="K6" s="5">
        <f t="shared" si="0"/>
        <v>2.25</v>
      </c>
      <c r="L6" s="6">
        <f t="shared" si="1"/>
        <v>1.25</v>
      </c>
    </row>
    <row r="7" spans="1:12">
      <c r="A7" s="7" t="s">
        <v>227</v>
      </c>
      <c r="B7" s="7" t="str">
        <f>TEXT(Table2[[#This Row],[Date]],"mmmm")</f>
        <v>January</v>
      </c>
      <c r="C7" s="1" t="s">
        <v>16</v>
      </c>
      <c r="D7" s="1" t="s">
        <v>9</v>
      </c>
      <c r="E7" s="1" t="s">
        <v>14</v>
      </c>
      <c r="F7" s="1" t="s">
        <v>18</v>
      </c>
      <c r="G7" s="1">
        <v>5</v>
      </c>
      <c r="H7" s="1">
        <v>20</v>
      </c>
      <c r="I7" s="1">
        <v>100</v>
      </c>
      <c r="J7" s="1">
        <v>400</v>
      </c>
      <c r="K7" s="5">
        <f t="shared" si="0"/>
        <v>0.25</v>
      </c>
      <c r="L7" s="6">
        <f t="shared" si="1"/>
        <v>-0.75</v>
      </c>
    </row>
    <row r="8" spans="1:12">
      <c r="A8" s="7" t="s">
        <v>226</v>
      </c>
      <c r="B8" s="7" t="str">
        <f>TEXT(Table2[[#This Row],[Date]],"mmmm")</f>
        <v>January</v>
      </c>
      <c r="C8" s="1" t="s">
        <v>19</v>
      </c>
      <c r="D8" s="1" t="s">
        <v>9</v>
      </c>
      <c r="E8" s="1" t="s">
        <v>14</v>
      </c>
      <c r="F8" s="1" t="s">
        <v>18</v>
      </c>
      <c r="G8" s="1">
        <v>8</v>
      </c>
      <c r="H8" s="1">
        <v>50</v>
      </c>
      <c r="I8" s="1">
        <v>400</v>
      </c>
      <c r="J8" s="1">
        <v>400</v>
      </c>
      <c r="K8" s="5">
        <f t="shared" si="0"/>
        <v>1</v>
      </c>
      <c r="L8" s="6">
        <f t="shared" si="1"/>
        <v>0</v>
      </c>
    </row>
    <row r="9" spans="1:12">
      <c r="A9" s="7" t="s">
        <v>225</v>
      </c>
      <c r="B9" s="7" t="str">
        <f>TEXT(Table2[[#This Row],[Date]],"mmmm")</f>
        <v>January</v>
      </c>
      <c r="C9" s="1" t="s">
        <v>16</v>
      </c>
      <c r="D9" s="1" t="s">
        <v>13</v>
      </c>
      <c r="E9" s="1" t="s">
        <v>21</v>
      </c>
      <c r="F9" s="1" t="s">
        <v>18</v>
      </c>
      <c r="G9" s="1">
        <v>14</v>
      </c>
      <c r="H9" s="1">
        <v>20</v>
      </c>
      <c r="I9" s="1">
        <v>280</v>
      </c>
      <c r="J9" s="1">
        <v>400</v>
      </c>
      <c r="K9" s="5">
        <f t="shared" si="0"/>
        <v>0.7</v>
      </c>
      <c r="L9" s="6">
        <f t="shared" si="1"/>
        <v>-0.3</v>
      </c>
    </row>
    <row r="10" spans="1:12">
      <c r="A10" s="7" t="s">
        <v>224</v>
      </c>
      <c r="B10" s="7" t="str">
        <f>TEXT(Table2[[#This Row],[Date]],"mmmm")</f>
        <v>January</v>
      </c>
      <c r="C10" s="1" t="s">
        <v>8</v>
      </c>
      <c r="D10" s="1" t="s">
        <v>13</v>
      </c>
      <c r="E10" s="1" t="s">
        <v>23</v>
      </c>
      <c r="F10" s="1" t="s">
        <v>15</v>
      </c>
      <c r="G10" s="1">
        <v>9</v>
      </c>
      <c r="H10" s="1">
        <v>40</v>
      </c>
      <c r="I10" s="1">
        <v>360</v>
      </c>
      <c r="J10" s="1">
        <v>400</v>
      </c>
      <c r="K10" s="5">
        <f t="shared" si="0"/>
        <v>0.9</v>
      </c>
      <c r="L10" s="6">
        <f t="shared" si="1"/>
        <v>-0.1</v>
      </c>
    </row>
    <row r="11" spans="1:12">
      <c r="A11" s="7" t="s">
        <v>223</v>
      </c>
      <c r="B11" s="7" t="str">
        <f>TEXT(Table2[[#This Row],[Date]],"mmmm")</f>
        <v>January</v>
      </c>
      <c r="C11" s="1" t="s">
        <v>16</v>
      </c>
      <c r="D11" s="1" t="s">
        <v>20</v>
      </c>
      <c r="E11" s="1" t="s">
        <v>10</v>
      </c>
      <c r="F11" s="1" t="s">
        <v>15</v>
      </c>
      <c r="G11" s="1">
        <v>13</v>
      </c>
      <c r="H11" s="1">
        <v>60</v>
      </c>
      <c r="I11" s="1">
        <v>780</v>
      </c>
      <c r="J11" s="1">
        <v>400</v>
      </c>
      <c r="K11" s="5">
        <f t="shared" si="0"/>
        <v>1.95</v>
      </c>
      <c r="L11" s="6">
        <f t="shared" si="1"/>
        <v>0.95</v>
      </c>
    </row>
    <row r="12" spans="1:12">
      <c r="A12" s="7" t="s">
        <v>222</v>
      </c>
      <c r="B12" s="7" t="str">
        <f>TEXT(Table2[[#This Row],[Date]],"mmmm")</f>
        <v>January</v>
      </c>
      <c r="C12" s="1" t="s">
        <v>16</v>
      </c>
      <c r="D12" s="1" t="s">
        <v>9</v>
      </c>
      <c r="E12" s="1" t="s">
        <v>27</v>
      </c>
      <c r="F12" s="1" t="s">
        <v>18</v>
      </c>
      <c r="G12" s="1">
        <v>11</v>
      </c>
      <c r="H12" s="1">
        <v>30</v>
      </c>
      <c r="I12" s="1">
        <v>330</v>
      </c>
      <c r="J12" s="1">
        <v>400</v>
      </c>
      <c r="K12" s="5">
        <f t="shared" si="0"/>
        <v>0.82499999999999996</v>
      </c>
      <c r="L12" s="6">
        <f t="shared" si="1"/>
        <v>-0.17499999999999999</v>
      </c>
    </row>
    <row r="13" spans="1:12">
      <c r="A13" s="7" t="s">
        <v>221</v>
      </c>
      <c r="B13" s="7" t="str">
        <f>TEXT(Table2[[#This Row],[Date]],"mmmm")</f>
        <v>January</v>
      </c>
      <c r="C13" s="1" t="s">
        <v>8</v>
      </c>
      <c r="D13" s="1" t="s">
        <v>13</v>
      </c>
      <c r="E13" s="1" t="s">
        <v>14</v>
      </c>
      <c r="F13" s="1" t="s">
        <v>18</v>
      </c>
      <c r="G13" s="1">
        <v>13</v>
      </c>
      <c r="H13" s="1">
        <v>30</v>
      </c>
      <c r="I13" s="1">
        <v>390</v>
      </c>
      <c r="J13" s="1">
        <v>400</v>
      </c>
      <c r="K13" s="5">
        <f t="shared" si="0"/>
        <v>0.97499999999999998</v>
      </c>
      <c r="L13" s="6">
        <f t="shared" si="1"/>
        <v>-2.5000000000000001E-2</v>
      </c>
    </row>
    <row r="14" spans="1:12">
      <c r="A14" s="7" t="s">
        <v>220</v>
      </c>
      <c r="B14" s="7" t="str">
        <f>TEXT(Table2[[#This Row],[Date]],"mmmm")</f>
        <v>January</v>
      </c>
      <c r="C14" s="1" t="s">
        <v>19</v>
      </c>
      <c r="D14" s="1" t="s">
        <v>13</v>
      </c>
      <c r="E14" s="1" t="s">
        <v>14</v>
      </c>
      <c r="F14" s="1" t="s">
        <v>18</v>
      </c>
      <c r="G14" s="1">
        <v>6</v>
      </c>
      <c r="H14" s="1">
        <v>20</v>
      </c>
      <c r="I14" s="1">
        <v>120</v>
      </c>
      <c r="J14" s="1">
        <v>400</v>
      </c>
      <c r="K14" s="5">
        <f t="shared" si="0"/>
        <v>0.3</v>
      </c>
      <c r="L14" s="6">
        <f t="shared" si="1"/>
        <v>-0.7</v>
      </c>
    </row>
    <row r="15" spans="1:12">
      <c r="A15" s="7" t="s">
        <v>219</v>
      </c>
      <c r="B15" s="7" t="str">
        <f>TEXT(Table2[[#This Row],[Date]],"mmmm")</f>
        <v>January</v>
      </c>
      <c r="C15" s="1" t="s">
        <v>8</v>
      </c>
      <c r="D15" s="1" t="s">
        <v>9</v>
      </c>
      <c r="E15" s="1" t="s">
        <v>21</v>
      </c>
      <c r="F15" s="1" t="s">
        <v>18</v>
      </c>
      <c r="G15" s="1">
        <v>8</v>
      </c>
      <c r="H15" s="1">
        <v>25</v>
      </c>
      <c r="I15" s="1">
        <v>200</v>
      </c>
      <c r="J15" s="1">
        <v>400</v>
      </c>
      <c r="K15" s="5">
        <f t="shared" si="0"/>
        <v>0.5</v>
      </c>
      <c r="L15" s="6">
        <f t="shared" si="1"/>
        <v>-0.5</v>
      </c>
    </row>
    <row r="16" spans="1:12">
      <c r="A16" s="7" t="s">
        <v>218</v>
      </c>
      <c r="B16" s="7" t="str">
        <f>TEXT(Table2[[#This Row],[Date]],"mmmm")</f>
        <v>January</v>
      </c>
      <c r="C16" s="1" t="s">
        <v>19</v>
      </c>
      <c r="D16" s="1" t="s">
        <v>20</v>
      </c>
      <c r="E16" s="1" t="s">
        <v>21</v>
      </c>
      <c r="F16" s="1" t="s">
        <v>15</v>
      </c>
      <c r="G16" s="1">
        <v>14</v>
      </c>
      <c r="H16" s="1">
        <v>30</v>
      </c>
      <c r="I16" s="1">
        <v>420</v>
      </c>
      <c r="J16" s="1">
        <v>400</v>
      </c>
      <c r="K16" s="5">
        <f t="shared" si="0"/>
        <v>1.05</v>
      </c>
      <c r="L16" s="6">
        <f t="shared" si="1"/>
        <v>0.05</v>
      </c>
    </row>
    <row r="17" spans="1:12">
      <c r="A17" s="7" t="s">
        <v>217</v>
      </c>
      <c r="B17" s="7" t="str">
        <f>TEXT(Table2[[#This Row],[Date]],"mmmm")</f>
        <v>January</v>
      </c>
      <c r="C17" s="1" t="s">
        <v>12</v>
      </c>
      <c r="D17" s="1" t="s">
        <v>13</v>
      </c>
      <c r="E17" s="1" t="s">
        <v>23</v>
      </c>
      <c r="F17" s="1" t="s">
        <v>15</v>
      </c>
      <c r="G17" s="1">
        <v>11</v>
      </c>
      <c r="H17" s="1">
        <v>25</v>
      </c>
      <c r="I17" s="1">
        <v>275</v>
      </c>
      <c r="J17" s="1">
        <v>400</v>
      </c>
      <c r="K17" s="5">
        <f t="shared" si="0"/>
        <v>0.6875</v>
      </c>
      <c r="L17" s="6">
        <f t="shared" si="1"/>
        <v>-0.3125</v>
      </c>
    </row>
    <row r="18" spans="1:12">
      <c r="A18" s="7" t="s">
        <v>216</v>
      </c>
      <c r="B18" s="7" t="str">
        <f>TEXT(Table2[[#This Row],[Date]],"mmmm")</f>
        <v>January</v>
      </c>
      <c r="C18" s="1" t="s">
        <v>8</v>
      </c>
      <c r="D18" s="1" t="s">
        <v>9</v>
      </c>
      <c r="E18" s="1" t="s">
        <v>10</v>
      </c>
      <c r="F18" s="1" t="s">
        <v>18</v>
      </c>
      <c r="G18" s="1">
        <v>5</v>
      </c>
      <c r="H18" s="1">
        <v>25</v>
      </c>
      <c r="I18" s="1">
        <v>125</v>
      </c>
      <c r="J18" s="1">
        <v>400</v>
      </c>
      <c r="K18" s="5">
        <f t="shared" si="0"/>
        <v>0.3125</v>
      </c>
      <c r="L18" s="6">
        <f t="shared" si="1"/>
        <v>-0.6875</v>
      </c>
    </row>
    <row r="19" spans="1:12">
      <c r="A19" s="7" t="s">
        <v>215</v>
      </c>
      <c r="B19" s="7" t="str">
        <f>TEXT(Table2[[#This Row],[Date]],"mmmm")</f>
        <v>January</v>
      </c>
      <c r="C19" s="1" t="s">
        <v>16</v>
      </c>
      <c r="D19" s="1" t="s">
        <v>20</v>
      </c>
      <c r="E19" s="1" t="s">
        <v>27</v>
      </c>
      <c r="F19" s="1" t="s">
        <v>18</v>
      </c>
      <c r="G19" s="1">
        <v>6</v>
      </c>
      <c r="H19" s="1">
        <v>20</v>
      </c>
      <c r="I19" s="1">
        <v>120</v>
      </c>
      <c r="J19" s="1">
        <v>400</v>
      </c>
      <c r="K19" s="5">
        <f t="shared" si="0"/>
        <v>0.3</v>
      </c>
      <c r="L19" s="6">
        <f t="shared" si="1"/>
        <v>-0.7</v>
      </c>
    </row>
    <row r="20" spans="1:12">
      <c r="A20" s="7" t="s">
        <v>214</v>
      </c>
      <c r="B20" s="7" t="str">
        <f>TEXT(Table2[[#This Row],[Date]],"mmmm")</f>
        <v>January</v>
      </c>
      <c r="C20" s="1" t="s">
        <v>8</v>
      </c>
      <c r="D20" s="1" t="s">
        <v>13</v>
      </c>
      <c r="E20" s="1" t="s">
        <v>17</v>
      </c>
      <c r="F20" s="1" t="s">
        <v>18</v>
      </c>
      <c r="G20" s="1">
        <v>5</v>
      </c>
      <c r="H20" s="1">
        <v>30</v>
      </c>
      <c r="I20" s="1">
        <v>150</v>
      </c>
      <c r="J20" s="1">
        <v>400</v>
      </c>
      <c r="K20" s="5">
        <f t="shared" si="0"/>
        <v>0.375</v>
      </c>
      <c r="L20" s="6">
        <f t="shared" si="1"/>
        <v>-0.625</v>
      </c>
    </row>
    <row r="21" spans="1:12">
      <c r="A21" s="7" t="s">
        <v>213</v>
      </c>
      <c r="B21" s="7" t="str">
        <f>TEXT(Table2[[#This Row],[Date]],"mmmm")</f>
        <v>January</v>
      </c>
      <c r="C21" s="1" t="s">
        <v>8</v>
      </c>
      <c r="D21" s="1" t="s">
        <v>20</v>
      </c>
      <c r="E21" s="1" t="s">
        <v>14</v>
      </c>
      <c r="F21" s="1" t="s">
        <v>18</v>
      </c>
      <c r="G21" s="1">
        <v>6</v>
      </c>
      <c r="H21" s="1">
        <v>60</v>
      </c>
      <c r="I21" s="1">
        <v>360</v>
      </c>
      <c r="J21" s="1">
        <v>400</v>
      </c>
      <c r="K21" s="5">
        <f t="shared" si="0"/>
        <v>0.9</v>
      </c>
      <c r="L21" s="6">
        <f t="shared" si="1"/>
        <v>-0.1</v>
      </c>
    </row>
    <row r="22" spans="1:12">
      <c r="A22" s="7" t="s">
        <v>212</v>
      </c>
      <c r="B22" s="7" t="str">
        <f>TEXT(Table2[[#This Row],[Date]],"mmmm")</f>
        <v>January</v>
      </c>
      <c r="C22" s="1" t="s">
        <v>8</v>
      </c>
      <c r="D22" s="1" t="s">
        <v>20</v>
      </c>
      <c r="E22" s="1" t="s">
        <v>27</v>
      </c>
      <c r="F22" s="1" t="s">
        <v>18</v>
      </c>
      <c r="G22" s="1">
        <v>10</v>
      </c>
      <c r="H22" s="1">
        <v>25</v>
      </c>
      <c r="I22" s="1">
        <v>250</v>
      </c>
      <c r="J22" s="1">
        <v>400</v>
      </c>
      <c r="K22" s="5">
        <f t="shared" si="0"/>
        <v>0.625</v>
      </c>
      <c r="L22" s="6">
        <f t="shared" si="1"/>
        <v>-0.375</v>
      </c>
    </row>
    <row r="23" spans="1:12">
      <c r="A23" s="7" t="s">
        <v>211</v>
      </c>
      <c r="B23" s="7" t="str">
        <f>TEXT(Table2[[#This Row],[Date]],"mmmm")</f>
        <v>January</v>
      </c>
      <c r="C23" s="1" t="s">
        <v>8</v>
      </c>
      <c r="D23" s="1" t="s">
        <v>20</v>
      </c>
      <c r="E23" s="1" t="s">
        <v>23</v>
      </c>
      <c r="F23" s="1" t="s">
        <v>22</v>
      </c>
      <c r="G23" s="1">
        <v>11</v>
      </c>
      <c r="H23" s="1">
        <v>50</v>
      </c>
      <c r="I23" s="1">
        <v>550</v>
      </c>
      <c r="J23" s="1">
        <v>400</v>
      </c>
      <c r="K23" s="5">
        <f t="shared" si="0"/>
        <v>1.375</v>
      </c>
      <c r="L23" s="6">
        <f t="shared" si="1"/>
        <v>0.375</v>
      </c>
    </row>
    <row r="24" spans="1:12">
      <c r="A24" s="7" t="s">
        <v>210</v>
      </c>
      <c r="B24" s="7" t="str">
        <f>TEXT(Table2[[#This Row],[Date]],"mmmm")</f>
        <v>January</v>
      </c>
      <c r="C24" s="1" t="s">
        <v>16</v>
      </c>
      <c r="D24" s="1" t="s">
        <v>13</v>
      </c>
      <c r="E24" s="1" t="s">
        <v>14</v>
      </c>
      <c r="F24" s="1" t="s">
        <v>22</v>
      </c>
      <c r="G24" s="1">
        <v>10</v>
      </c>
      <c r="H24" s="1">
        <v>50</v>
      </c>
      <c r="I24" s="1">
        <v>500</v>
      </c>
      <c r="J24" s="1">
        <v>400</v>
      </c>
      <c r="K24" s="5">
        <f t="shared" si="0"/>
        <v>1.25</v>
      </c>
      <c r="L24" s="6">
        <f t="shared" si="1"/>
        <v>0.25</v>
      </c>
    </row>
    <row r="25" spans="1:12">
      <c r="A25" s="7" t="s">
        <v>209</v>
      </c>
      <c r="B25" s="7" t="str">
        <f>TEXT(Table2[[#This Row],[Date]],"mmmm")</f>
        <v>January</v>
      </c>
      <c r="C25" s="1" t="s">
        <v>12</v>
      </c>
      <c r="D25" s="1" t="s">
        <v>13</v>
      </c>
      <c r="E25" s="1" t="s">
        <v>14</v>
      </c>
      <c r="F25" s="1" t="s">
        <v>18</v>
      </c>
      <c r="G25" s="1">
        <v>8</v>
      </c>
      <c r="H25" s="1">
        <v>25</v>
      </c>
      <c r="I25" s="1">
        <v>200</v>
      </c>
      <c r="J25" s="1">
        <v>400</v>
      </c>
      <c r="K25" s="5">
        <f t="shared" si="0"/>
        <v>0.5</v>
      </c>
      <c r="L25" s="6">
        <f t="shared" si="1"/>
        <v>-0.5</v>
      </c>
    </row>
    <row r="26" spans="1:12">
      <c r="A26" s="7" t="s">
        <v>208</v>
      </c>
      <c r="B26" s="7" t="str">
        <f>TEXT(Table2[[#This Row],[Date]],"mmmm")</f>
        <v>January</v>
      </c>
      <c r="C26" s="1" t="s">
        <v>12</v>
      </c>
      <c r="D26" s="1" t="s">
        <v>20</v>
      </c>
      <c r="E26" s="1" t="s">
        <v>10</v>
      </c>
      <c r="F26" s="1" t="s">
        <v>22</v>
      </c>
      <c r="G26" s="1">
        <v>12</v>
      </c>
      <c r="H26" s="1">
        <v>20</v>
      </c>
      <c r="I26" s="1">
        <v>240</v>
      </c>
      <c r="J26" s="1">
        <v>400</v>
      </c>
      <c r="K26" s="5">
        <f t="shared" si="0"/>
        <v>0.6</v>
      </c>
      <c r="L26" s="6">
        <f t="shared" si="1"/>
        <v>-0.4</v>
      </c>
    </row>
    <row r="27" spans="1:12">
      <c r="A27" s="7" t="s">
        <v>207</v>
      </c>
      <c r="B27" s="7" t="str">
        <f>TEXT(Table2[[#This Row],[Date]],"mmmm")</f>
        <v>January</v>
      </c>
      <c r="C27" s="1" t="s">
        <v>16</v>
      </c>
      <c r="D27" s="1" t="s">
        <v>9</v>
      </c>
      <c r="E27" s="1" t="s">
        <v>10</v>
      </c>
      <c r="F27" s="1" t="s">
        <v>22</v>
      </c>
      <c r="G27" s="1">
        <v>7</v>
      </c>
      <c r="H27" s="1">
        <v>40</v>
      </c>
      <c r="I27" s="1">
        <v>280</v>
      </c>
      <c r="J27" s="1">
        <v>400</v>
      </c>
      <c r="K27" s="5">
        <f t="shared" si="0"/>
        <v>0.7</v>
      </c>
      <c r="L27" s="6">
        <f t="shared" si="1"/>
        <v>-0.3</v>
      </c>
    </row>
    <row r="28" spans="1:12">
      <c r="A28" s="7" t="s">
        <v>206</v>
      </c>
      <c r="B28" s="7" t="str">
        <f>TEXT(Table2[[#This Row],[Date]],"mmmm")</f>
        <v>January</v>
      </c>
      <c r="C28" s="1" t="s">
        <v>12</v>
      </c>
      <c r="D28" s="1" t="s">
        <v>13</v>
      </c>
      <c r="E28" s="1" t="s">
        <v>17</v>
      </c>
      <c r="F28" s="1" t="s">
        <v>22</v>
      </c>
      <c r="G28" s="1">
        <v>8</v>
      </c>
      <c r="H28" s="1">
        <v>40</v>
      </c>
      <c r="I28" s="1">
        <v>320</v>
      </c>
      <c r="J28" s="1">
        <v>400</v>
      </c>
      <c r="K28" s="5">
        <f t="shared" si="0"/>
        <v>0.8</v>
      </c>
      <c r="L28" s="6">
        <f t="shared" si="1"/>
        <v>-0.2</v>
      </c>
    </row>
    <row r="29" spans="1:12">
      <c r="A29" s="7" t="s">
        <v>205</v>
      </c>
      <c r="B29" s="7" t="str">
        <f>TEXT(Table2[[#This Row],[Date]],"mmmm")</f>
        <v>January</v>
      </c>
      <c r="C29" s="1" t="s">
        <v>12</v>
      </c>
      <c r="D29" s="1" t="s">
        <v>13</v>
      </c>
      <c r="E29" s="1" t="s">
        <v>17</v>
      </c>
      <c r="F29" s="1" t="s">
        <v>18</v>
      </c>
      <c r="G29" s="1">
        <v>14</v>
      </c>
      <c r="H29" s="1">
        <v>50</v>
      </c>
      <c r="I29" s="1">
        <v>700</v>
      </c>
      <c r="J29" s="1">
        <v>400</v>
      </c>
      <c r="K29" s="5">
        <f t="shared" si="0"/>
        <v>1.75</v>
      </c>
      <c r="L29" s="6">
        <f t="shared" si="1"/>
        <v>0.75</v>
      </c>
    </row>
    <row r="30" spans="1:12">
      <c r="A30" s="7" t="s">
        <v>204</v>
      </c>
      <c r="B30" s="7" t="str">
        <f>TEXT(Table2[[#This Row],[Date]],"mmmm")</f>
        <v>January</v>
      </c>
      <c r="C30" s="1" t="s">
        <v>19</v>
      </c>
      <c r="D30" s="1" t="s">
        <v>13</v>
      </c>
      <c r="E30" s="1" t="s">
        <v>21</v>
      </c>
      <c r="F30" s="1" t="s">
        <v>18</v>
      </c>
      <c r="G30" s="1">
        <v>13</v>
      </c>
      <c r="H30" s="1">
        <v>50</v>
      </c>
      <c r="I30" s="1">
        <v>650</v>
      </c>
      <c r="J30" s="1">
        <v>400</v>
      </c>
      <c r="K30" s="5">
        <f t="shared" si="0"/>
        <v>1.625</v>
      </c>
      <c r="L30" s="6">
        <f t="shared" si="1"/>
        <v>0.625</v>
      </c>
    </row>
    <row r="31" spans="1:12">
      <c r="A31" s="7" t="s">
        <v>203</v>
      </c>
      <c r="B31" s="7" t="str">
        <f>TEXT(Table2[[#This Row],[Date]],"mmmm")</f>
        <v>January</v>
      </c>
      <c r="C31" s="1" t="s">
        <v>19</v>
      </c>
      <c r="D31" s="1" t="s">
        <v>20</v>
      </c>
      <c r="E31" s="1" t="s">
        <v>17</v>
      </c>
      <c r="F31" s="1" t="s">
        <v>18</v>
      </c>
      <c r="G31" s="1">
        <v>5</v>
      </c>
      <c r="H31" s="1">
        <v>20</v>
      </c>
      <c r="I31" s="1">
        <v>100</v>
      </c>
      <c r="J31" s="1">
        <v>400</v>
      </c>
      <c r="K31" s="5">
        <f t="shared" si="0"/>
        <v>0.25</v>
      </c>
      <c r="L31" s="6">
        <f t="shared" si="1"/>
        <v>-0.75</v>
      </c>
    </row>
    <row r="32" spans="1:12">
      <c r="A32" s="7" t="s">
        <v>202</v>
      </c>
      <c r="B32" s="7" t="str">
        <f>TEXT(Table2[[#This Row],[Date]],"mmmm")</f>
        <v>January</v>
      </c>
      <c r="C32" s="1" t="s">
        <v>16</v>
      </c>
      <c r="D32" s="1" t="s">
        <v>9</v>
      </c>
      <c r="E32" s="1" t="s">
        <v>27</v>
      </c>
      <c r="F32" s="1" t="s">
        <v>22</v>
      </c>
      <c r="G32" s="1">
        <v>8</v>
      </c>
      <c r="H32" s="1">
        <v>60</v>
      </c>
      <c r="I32" s="1">
        <v>480</v>
      </c>
      <c r="J32" s="1">
        <v>400</v>
      </c>
      <c r="K32" s="5">
        <f t="shared" si="0"/>
        <v>1.2</v>
      </c>
      <c r="L32" s="6">
        <f t="shared" si="1"/>
        <v>0.2</v>
      </c>
    </row>
    <row r="33" spans="1:12">
      <c r="A33" s="7" t="s">
        <v>201</v>
      </c>
      <c r="B33" s="7" t="str">
        <f>TEXT(Table2[[#This Row],[Date]],"mmmm")</f>
        <v>February</v>
      </c>
      <c r="C33" s="1" t="s">
        <v>19</v>
      </c>
      <c r="D33" s="1" t="s">
        <v>13</v>
      </c>
      <c r="E33" s="1" t="s">
        <v>10</v>
      </c>
      <c r="F33" s="1" t="s">
        <v>11</v>
      </c>
      <c r="G33" s="1">
        <v>8</v>
      </c>
      <c r="H33" s="1">
        <v>40</v>
      </c>
      <c r="I33" s="1">
        <v>320</v>
      </c>
      <c r="J33" s="1">
        <v>400</v>
      </c>
      <c r="K33" s="5">
        <f t="shared" si="0"/>
        <v>0.8</v>
      </c>
      <c r="L33" s="6">
        <f t="shared" si="1"/>
        <v>-0.2</v>
      </c>
    </row>
    <row r="34" spans="1:12">
      <c r="A34" s="7" t="s">
        <v>200</v>
      </c>
      <c r="B34" s="7" t="str">
        <f>TEXT(Table2[[#This Row],[Date]],"mmmm")</f>
        <v>February</v>
      </c>
      <c r="C34" s="1" t="s">
        <v>8</v>
      </c>
      <c r="D34" s="1" t="s">
        <v>20</v>
      </c>
      <c r="E34" s="1" t="s">
        <v>17</v>
      </c>
      <c r="F34" s="1" t="s">
        <v>22</v>
      </c>
      <c r="G34" s="1">
        <v>9</v>
      </c>
      <c r="H34" s="1">
        <v>60</v>
      </c>
      <c r="I34" s="1">
        <v>540</v>
      </c>
      <c r="J34" s="1">
        <v>400</v>
      </c>
      <c r="K34" s="5">
        <f t="shared" si="0"/>
        <v>1.35</v>
      </c>
      <c r="L34" s="6">
        <f t="shared" si="1"/>
        <v>0.35</v>
      </c>
    </row>
    <row r="35" spans="1:12">
      <c r="A35" s="7" t="s">
        <v>199</v>
      </c>
      <c r="B35" s="7" t="str">
        <f>TEXT(Table2[[#This Row],[Date]],"mmmm")</f>
        <v>February</v>
      </c>
      <c r="C35" s="1" t="s">
        <v>12</v>
      </c>
      <c r="D35" s="1" t="s">
        <v>9</v>
      </c>
      <c r="E35" s="1" t="s">
        <v>27</v>
      </c>
      <c r="F35" s="1" t="s">
        <v>18</v>
      </c>
      <c r="G35" s="1">
        <v>9</v>
      </c>
      <c r="H35" s="1">
        <v>40</v>
      </c>
      <c r="I35" s="1">
        <v>360</v>
      </c>
      <c r="J35" s="1">
        <v>400</v>
      </c>
      <c r="K35" s="5">
        <f t="shared" si="0"/>
        <v>0.9</v>
      </c>
      <c r="L35" s="6">
        <f t="shared" si="1"/>
        <v>-0.1</v>
      </c>
    </row>
    <row r="36" spans="1:12">
      <c r="A36" s="7" t="s">
        <v>198</v>
      </c>
      <c r="B36" s="7" t="str">
        <f>TEXT(Table2[[#This Row],[Date]],"mmmm")</f>
        <v>February</v>
      </c>
      <c r="C36" s="1" t="s">
        <v>12</v>
      </c>
      <c r="D36" s="1" t="s">
        <v>20</v>
      </c>
      <c r="E36" s="1" t="s">
        <v>10</v>
      </c>
      <c r="F36" s="1" t="s">
        <v>22</v>
      </c>
      <c r="G36" s="1">
        <v>15</v>
      </c>
      <c r="H36" s="1">
        <v>40</v>
      </c>
      <c r="I36" s="1">
        <v>600</v>
      </c>
      <c r="J36" s="1">
        <v>400</v>
      </c>
      <c r="K36" s="5">
        <f t="shared" si="0"/>
        <v>1.5</v>
      </c>
      <c r="L36" s="6">
        <f t="shared" si="1"/>
        <v>0.5</v>
      </c>
    </row>
    <row r="37" spans="1:12">
      <c r="A37" s="7" t="s">
        <v>197</v>
      </c>
      <c r="B37" s="7" t="str">
        <f>TEXT(Table2[[#This Row],[Date]],"mmmm")</f>
        <v>February</v>
      </c>
      <c r="C37" s="1" t="s">
        <v>19</v>
      </c>
      <c r="D37" s="1" t="s">
        <v>20</v>
      </c>
      <c r="E37" s="1" t="s">
        <v>21</v>
      </c>
      <c r="F37" s="1" t="s">
        <v>15</v>
      </c>
      <c r="G37" s="1">
        <v>8</v>
      </c>
      <c r="H37" s="1">
        <v>20</v>
      </c>
      <c r="I37" s="1">
        <v>160</v>
      </c>
      <c r="J37" s="1">
        <v>400</v>
      </c>
      <c r="K37" s="5">
        <f t="shared" si="0"/>
        <v>0.4</v>
      </c>
      <c r="L37" s="6">
        <f t="shared" si="1"/>
        <v>-0.6</v>
      </c>
    </row>
    <row r="38" spans="1:12">
      <c r="A38" s="7" t="s">
        <v>196</v>
      </c>
      <c r="B38" s="7" t="str">
        <f>TEXT(Table2[[#This Row],[Date]],"mmmm")</f>
        <v>February</v>
      </c>
      <c r="C38" s="1" t="s">
        <v>12</v>
      </c>
      <c r="D38" s="1" t="s">
        <v>13</v>
      </c>
      <c r="E38" s="1" t="s">
        <v>17</v>
      </c>
      <c r="F38" s="1" t="s">
        <v>11</v>
      </c>
      <c r="G38" s="1">
        <v>5</v>
      </c>
      <c r="H38" s="1">
        <v>30</v>
      </c>
      <c r="I38" s="1">
        <v>150</v>
      </c>
      <c r="J38" s="1">
        <v>400</v>
      </c>
      <c r="K38" s="5">
        <f t="shared" si="0"/>
        <v>0.375</v>
      </c>
      <c r="L38" s="6">
        <f t="shared" si="1"/>
        <v>-0.625</v>
      </c>
    </row>
    <row r="39" spans="1:12">
      <c r="A39" s="7" t="s">
        <v>195</v>
      </c>
      <c r="B39" s="7" t="str">
        <f>TEXT(Table2[[#This Row],[Date]],"mmmm")</f>
        <v>February</v>
      </c>
      <c r="C39" s="1" t="s">
        <v>12</v>
      </c>
      <c r="D39" s="1" t="s">
        <v>20</v>
      </c>
      <c r="E39" s="1" t="s">
        <v>21</v>
      </c>
      <c r="F39" s="1" t="s">
        <v>11</v>
      </c>
      <c r="G39" s="1">
        <v>12</v>
      </c>
      <c r="H39" s="1">
        <v>20</v>
      </c>
      <c r="I39" s="1">
        <v>240</v>
      </c>
      <c r="J39" s="1">
        <v>400</v>
      </c>
      <c r="K39" s="5">
        <f t="shared" si="0"/>
        <v>0.6</v>
      </c>
      <c r="L39" s="6">
        <f t="shared" si="1"/>
        <v>-0.4</v>
      </c>
    </row>
    <row r="40" spans="1:12">
      <c r="A40" s="7" t="s">
        <v>194</v>
      </c>
      <c r="B40" s="7" t="str">
        <f>TEXT(Table2[[#This Row],[Date]],"mmmm")</f>
        <v>February</v>
      </c>
      <c r="C40" s="1" t="s">
        <v>19</v>
      </c>
      <c r="D40" s="1" t="s">
        <v>13</v>
      </c>
      <c r="E40" s="1" t="s">
        <v>17</v>
      </c>
      <c r="F40" s="1" t="s">
        <v>18</v>
      </c>
      <c r="G40" s="1">
        <v>13</v>
      </c>
      <c r="H40" s="1">
        <v>20</v>
      </c>
      <c r="I40" s="1">
        <v>260</v>
      </c>
      <c r="J40" s="1">
        <v>400</v>
      </c>
      <c r="K40" s="5">
        <f t="shared" si="0"/>
        <v>0.65</v>
      </c>
      <c r="L40" s="6">
        <f t="shared" si="1"/>
        <v>-0.35</v>
      </c>
    </row>
    <row r="41" spans="1:12">
      <c r="A41" s="7" t="s">
        <v>193</v>
      </c>
      <c r="B41" s="7" t="str">
        <f>TEXT(Table2[[#This Row],[Date]],"mmmm")</f>
        <v>February</v>
      </c>
      <c r="C41" s="1" t="s">
        <v>12</v>
      </c>
      <c r="D41" s="1" t="s">
        <v>20</v>
      </c>
      <c r="E41" s="1" t="s">
        <v>21</v>
      </c>
      <c r="F41" s="1" t="s">
        <v>11</v>
      </c>
      <c r="G41" s="1">
        <v>7</v>
      </c>
      <c r="H41" s="1">
        <v>20</v>
      </c>
      <c r="I41" s="1">
        <v>140</v>
      </c>
      <c r="J41" s="1">
        <v>400</v>
      </c>
      <c r="K41" s="5">
        <f t="shared" si="0"/>
        <v>0.35</v>
      </c>
      <c r="L41" s="6">
        <f t="shared" si="1"/>
        <v>-0.65</v>
      </c>
    </row>
    <row r="42" spans="1:12">
      <c r="A42" s="7" t="s">
        <v>192</v>
      </c>
      <c r="B42" s="7" t="str">
        <f>TEXT(Table2[[#This Row],[Date]],"mmmm")</f>
        <v>February</v>
      </c>
      <c r="C42" s="1" t="s">
        <v>12</v>
      </c>
      <c r="D42" s="1" t="s">
        <v>20</v>
      </c>
      <c r="E42" s="1" t="s">
        <v>17</v>
      </c>
      <c r="F42" s="1" t="s">
        <v>18</v>
      </c>
      <c r="G42" s="1">
        <v>5</v>
      </c>
      <c r="H42" s="1">
        <v>40</v>
      </c>
      <c r="I42" s="1">
        <v>200</v>
      </c>
      <c r="J42" s="1">
        <v>400</v>
      </c>
      <c r="K42" s="5">
        <f t="shared" si="0"/>
        <v>0.5</v>
      </c>
      <c r="L42" s="6">
        <f t="shared" si="1"/>
        <v>-0.5</v>
      </c>
    </row>
    <row r="43" spans="1:12">
      <c r="A43" s="7" t="s">
        <v>191</v>
      </c>
      <c r="B43" s="7" t="str">
        <f>TEXT(Table2[[#This Row],[Date]],"mmmm")</f>
        <v>February</v>
      </c>
      <c r="C43" s="1" t="s">
        <v>16</v>
      </c>
      <c r="D43" s="1" t="s">
        <v>13</v>
      </c>
      <c r="E43" s="1" t="s">
        <v>10</v>
      </c>
      <c r="F43" s="1" t="s">
        <v>15</v>
      </c>
      <c r="G43" s="1">
        <v>5</v>
      </c>
      <c r="H43" s="1">
        <v>40</v>
      </c>
      <c r="I43" s="1">
        <v>200</v>
      </c>
      <c r="J43" s="1">
        <v>400</v>
      </c>
      <c r="K43" s="5">
        <f t="shared" si="0"/>
        <v>0.5</v>
      </c>
      <c r="L43" s="6">
        <f t="shared" si="1"/>
        <v>-0.5</v>
      </c>
    </row>
    <row r="44" spans="1:12">
      <c r="A44" s="7" t="s">
        <v>190</v>
      </c>
      <c r="B44" s="7" t="str">
        <f>TEXT(Table2[[#This Row],[Date]],"mmmm")</f>
        <v>February</v>
      </c>
      <c r="C44" s="1" t="s">
        <v>8</v>
      </c>
      <c r="D44" s="1" t="s">
        <v>20</v>
      </c>
      <c r="E44" s="1" t="s">
        <v>10</v>
      </c>
      <c r="F44" s="1" t="s">
        <v>22</v>
      </c>
      <c r="G44" s="1">
        <v>5</v>
      </c>
      <c r="H44" s="1">
        <v>40</v>
      </c>
      <c r="I44" s="1">
        <v>200</v>
      </c>
      <c r="J44" s="1">
        <v>400</v>
      </c>
      <c r="K44" s="5">
        <f t="shared" si="0"/>
        <v>0.5</v>
      </c>
      <c r="L44" s="6">
        <f t="shared" si="1"/>
        <v>-0.5</v>
      </c>
    </row>
    <row r="45" spans="1:12">
      <c r="A45" s="7" t="s">
        <v>189</v>
      </c>
      <c r="B45" s="7" t="str">
        <f>TEXT(Table2[[#This Row],[Date]],"mmmm")</f>
        <v>February</v>
      </c>
      <c r="C45" s="1" t="s">
        <v>8</v>
      </c>
      <c r="D45" s="1" t="s">
        <v>20</v>
      </c>
      <c r="E45" s="1" t="s">
        <v>23</v>
      </c>
      <c r="F45" s="1" t="s">
        <v>22</v>
      </c>
      <c r="G45" s="1">
        <v>8</v>
      </c>
      <c r="H45" s="1">
        <v>50</v>
      </c>
      <c r="I45" s="1">
        <v>400</v>
      </c>
      <c r="J45" s="1">
        <v>400</v>
      </c>
      <c r="K45" s="5">
        <f t="shared" si="0"/>
        <v>1</v>
      </c>
      <c r="L45" s="6">
        <f t="shared" si="1"/>
        <v>0</v>
      </c>
    </row>
    <row r="46" spans="1:12">
      <c r="A46" s="7" t="s">
        <v>188</v>
      </c>
      <c r="B46" s="7" t="str">
        <f>TEXT(Table2[[#This Row],[Date]],"mmmm")</f>
        <v>February</v>
      </c>
      <c r="C46" s="1" t="s">
        <v>12</v>
      </c>
      <c r="D46" s="1" t="s">
        <v>9</v>
      </c>
      <c r="E46" s="1" t="s">
        <v>23</v>
      </c>
      <c r="F46" s="1" t="s">
        <v>18</v>
      </c>
      <c r="G46" s="1">
        <v>15</v>
      </c>
      <c r="H46" s="1">
        <v>50</v>
      </c>
      <c r="I46" s="1">
        <v>750</v>
      </c>
      <c r="J46" s="1">
        <v>400</v>
      </c>
      <c r="K46" s="5">
        <f t="shared" si="0"/>
        <v>1.875</v>
      </c>
      <c r="L46" s="6">
        <f t="shared" si="1"/>
        <v>0.875</v>
      </c>
    </row>
    <row r="47" spans="1:12">
      <c r="A47" s="7" t="s">
        <v>187</v>
      </c>
      <c r="B47" s="7" t="str">
        <f>TEXT(Table2[[#This Row],[Date]],"mmmm")</f>
        <v>February</v>
      </c>
      <c r="C47" s="1" t="s">
        <v>8</v>
      </c>
      <c r="D47" s="1" t="s">
        <v>20</v>
      </c>
      <c r="E47" s="1" t="s">
        <v>21</v>
      </c>
      <c r="F47" s="1" t="s">
        <v>11</v>
      </c>
      <c r="G47" s="1">
        <v>7</v>
      </c>
      <c r="H47" s="1">
        <v>20</v>
      </c>
      <c r="I47" s="1">
        <v>140</v>
      </c>
      <c r="J47" s="1">
        <v>400</v>
      </c>
      <c r="K47" s="5">
        <f t="shared" si="0"/>
        <v>0.35</v>
      </c>
      <c r="L47" s="6">
        <f t="shared" si="1"/>
        <v>-0.65</v>
      </c>
    </row>
    <row r="48" spans="1:12">
      <c r="A48" s="7" t="s">
        <v>186</v>
      </c>
      <c r="B48" s="7" t="str">
        <f>TEXT(Table2[[#This Row],[Date]],"mmmm")</f>
        <v>February</v>
      </c>
      <c r="C48" s="1" t="s">
        <v>16</v>
      </c>
      <c r="D48" s="1" t="s">
        <v>13</v>
      </c>
      <c r="E48" s="1" t="s">
        <v>17</v>
      </c>
      <c r="F48" s="1" t="s">
        <v>22</v>
      </c>
      <c r="G48" s="1">
        <v>15</v>
      </c>
      <c r="H48" s="1">
        <v>20</v>
      </c>
      <c r="I48" s="1">
        <v>300</v>
      </c>
      <c r="J48" s="1">
        <v>400</v>
      </c>
      <c r="K48" s="5">
        <f t="shared" si="0"/>
        <v>0.75</v>
      </c>
      <c r="L48" s="6">
        <f t="shared" si="1"/>
        <v>-0.25</v>
      </c>
    </row>
    <row r="49" spans="1:12">
      <c r="A49" s="7" t="s">
        <v>185</v>
      </c>
      <c r="B49" s="7" t="str">
        <f>TEXT(Table2[[#This Row],[Date]],"mmmm")</f>
        <v>February</v>
      </c>
      <c r="C49" s="1" t="s">
        <v>19</v>
      </c>
      <c r="D49" s="1" t="s">
        <v>20</v>
      </c>
      <c r="E49" s="1" t="s">
        <v>10</v>
      </c>
      <c r="F49" s="1" t="s">
        <v>22</v>
      </c>
      <c r="G49" s="1">
        <v>14</v>
      </c>
      <c r="H49" s="1">
        <v>20</v>
      </c>
      <c r="I49" s="1">
        <v>280</v>
      </c>
      <c r="J49" s="1">
        <v>400</v>
      </c>
      <c r="K49" s="5">
        <f t="shared" si="0"/>
        <v>0.7</v>
      </c>
      <c r="L49" s="6">
        <f t="shared" si="1"/>
        <v>-0.3</v>
      </c>
    </row>
    <row r="50" spans="1:12">
      <c r="A50" s="7" t="s">
        <v>184</v>
      </c>
      <c r="B50" s="7" t="str">
        <f>TEXT(Table2[[#This Row],[Date]],"mmmm")</f>
        <v>February</v>
      </c>
      <c r="C50" s="1" t="s">
        <v>12</v>
      </c>
      <c r="D50" s="1" t="s">
        <v>9</v>
      </c>
      <c r="E50" s="1" t="s">
        <v>10</v>
      </c>
      <c r="F50" s="1" t="s">
        <v>18</v>
      </c>
      <c r="G50" s="1">
        <v>11</v>
      </c>
      <c r="H50" s="1">
        <v>50</v>
      </c>
      <c r="I50" s="1">
        <v>550</v>
      </c>
      <c r="J50" s="1">
        <v>400</v>
      </c>
      <c r="K50" s="5">
        <f t="shared" si="0"/>
        <v>1.375</v>
      </c>
      <c r="L50" s="6">
        <f t="shared" si="1"/>
        <v>0.375</v>
      </c>
    </row>
    <row r="51" spans="1:12">
      <c r="A51" s="7" t="s">
        <v>183</v>
      </c>
      <c r="B51" s="7" t="str">
        <f>TEXT(Table2[[#This Row],[Date]],"mmmm")</f>
        <v>February</v>
      </c>
      <c r="C51" s="1" t="s">
        <v>8</v>
      </c>
      <c r="D51" s="1" t="s">
        <v>20</v>
      </c>
      <c r="E51" s="1" t="s">
        <v>10</v>
      </c>
      <c r="F51" s="1" t="s">
        <v>18</v>
      </c>
      <c r="G51" s="1">
        <v>14</v>
      </c>
      <c r="H51" s="1">
        <v>25</v>
      </c>
      <c r="I51" s="1">
        <v>350</v>
      </c>
      <c r="J51" s="1">
        <v>400</v>
      </c>
      <c r="K51" s="5">
        <f t="shared" si="0"/>
        <v>0.875</v>
      </c>
      <c r="L51" s="6">
        <f t="shared" si="1"/>
        <v>-0.125</v>
      </c>
    </row>
    <row r="52" spans="1:12">
      <c r="A52" s="7" t="s">
        <v>182</v>
      </c>
      <c r="B52" s="7" t="str">
        <f>TEXT(Table2[[#This Row],[Date]],"mmmm")</f>
        <v>February</v>
      </c>
      <c r="C52" s="1" t="s">
        <v>19</v>
      </c>
      <c r="D52" s="1" t="s">
        <v>13</v>
      </c>
      <c r="E52" s="1" t="s">
        <v>21</v>
      </c>
      <c r="F52" s="1" t="s">
        <v>18</v>
      </c>
      <c r="G52" s="1">
        <v>5</v>
      </c>
      <c r="H52" s="1">
        <v>40</v>
      </c>
      <c r="I52" s="1">
        <v>200</v>
      </c>
      <c r="J52" s="1">
        <v>400</v>
      </c>
      <c r="K52" s="5">
        <f t="shared" si="0"/>
        <v>0.5</v>
      </c>
      <c r="L52" s="6">
        <f t="shared" si="1"/>
        <v>-0.5</v>
      </c>
    </row>
    <row r="53" spans="1:12">
      <c r="A53" s="7" t="s">
        <v>181</v>
      </c>
      <c r="B53" s="7" t="str">
        <f>TEXT(Table2[[#This Row],[Date]],"mmmm")</f>
        <v>February</v>
      </c>
      <c r="C53" s="1" t="s">
        <v>8</v>
      </c>
      <c r="D53" s="1" t="s">
        <v>9</v>
      </c>
      <c r="E53" s="1" t="s">
        <v>10</v>
      </c>
      <c r="F53" s="1" t="s">
        <v>15</v>
      </c>
      <c r="G53" s="1">
        <v>5</v>
      </c>
      <c r="H53" s="1">
        <v>60</v>
      </c>
      <c r="I53" s="1">
        <v>300</v>
      </c>
      <c r="J53" s="1">
        <v>400</v>
      </c>
      <c r="K53" s="5">
        <f t="shared" si="0"/>
        <v>0.75</v>
      </c>
      <c r="L53" s="6">
        <f t="shared" si="1"/>
        <v>-0.25</v>
      </c>
    </row>
    <row r="54" spans="1:12">
      <c r="A54" s="7" t="s">
        <v>180</v>
      </c>
      <c r="B54" s="7" t="str">
        <f>TEXT(Table2[[#This Row],[Date]],"mmmm")</f>
        <v>February</v>
      </c>
      <c r="C54" s="1" t="s">
        <v>12</v>
      </c>
      <c r="D54" s="1" t="s">
        <v>9</v>
      </c>
      <c r="E54" s="1" t="s">
        <v>14</v>
      </c>
      <c r="F54" s="1" t="s">
        <v>11</v>
      </c>
      <c r="G54" s="1">
        <v>9</v>
      </c>
      <c r="H54" s="1">
        <v>60</v>
      </c>
      <c r="I54" s="1">
        <v>540</v>
      </c>
      <c r="J54" s="1">
        <v>400</v>
      </c>
      <c r="K54" s="5">
        <f t="shared" si="0"/>
        <v>1.35</v>
      </c>
      <c r="L54" s="6">
        <f t="shared" si="1"/>
        <v>0.35</v>
      </c>
    </row>
    <row r="55" spans="1:12">
      <c r="A55" s="7" t="s">
        <v>179</v>
      </c>
      <c r="B55" s="7" t="str">
        <f>TEXT(Table2[[#This Row],[Date]],"mmmm")</f>
        <v>February</v>
      </c>
      <c r="C55" s="1" t="s">
        <v>12</v>
      </c>
      <c r="D55" s="1" t="s">
        <v>13</v>
      </c>
      <c r="E55" s="1" t="s">
        <v>10</v>
      </c>
      <c r="F55" s="1" t="s">
        <v>11</v>
      </c>
      <c r="G55" s="1">
        <v>9</v>
      </c>
      <c r="H55" s="1">
        <v>40</v>
      </c>
      <c r="I55" s="1">
        <v>360</v>
      </c>
      <c r="J55" s="1">
        <v>400</v>
      </c>
      <c r="K55" s="5">
        <f t="shared" si="0"/>
        <v>0.9</v>
      </c>
      <c r="L55" s="6">
        <f t="shared" si="1"/>
        <v>-0.1</v>
      </c>
    </row>
    <row r="56" spans="1:12">
      <c r="A56" s="7" t="s">
        <v>178</v>
      </c>
      <c r="B56" s="7" t="str">
        <f>TEXT(Table2[[#This Row],[Date]],"mmmm")</f>
        <v>February</v>
      </c>
      <c r="C56" s="1" t="s">
        <v>8</v>
      </c>
      <c r="D56" s="1" t="s">
        <v>20</v>
      </c>
      <c r="E56" s="1" t="s">
        <v>27</v>
      </c>
      <c r="F56" s="1" t="s">
        <v>11</v>
      </c>
      <c r="G56" s="1">
        <v>10</v>
      </c>
      <c r="H56" s="1">
        <v>25</v>
      </c>
      <c r="I56" s="1">
        <v>250</v>
      </c>
      <c r="J56" s="1">
        <v>400</v>
      </c>
      <c r="K56" s="5">
        <f t="shared" si="0"/>
        <v>0.625</v>
      </c>
      <c r="L56" s="6">
        <f t="shared" si="1"/>
        <v>-0.375</v>
      </c>
    </row>
    <row r="57" spans="1:12">
      <c r="A57" s="7" t="s">
        <v>177</v>
      </c>
      <c r="B57" s="7" t="str">
        <f>TEXT(Table2[[#This Row],[Date]],"mmmm")</f>
        <v>February</v>
      </c>
      <c r="C57" s="1" t="s">
        <v>19</v>
      </c>
      <c r="D57" s="1" t="s">
        <v>20</v>
      </c>
      <c r="E57" s="1" t="s">
        <v>23</v>
      </c>
      <c r="F57" s="1" t="s">
        <v>18</v>
      </c>
      <c r="G57" s="1">
        <v>11</v>
      </c>
      <c r="H57" s="1">
        <v>30</v>
      </c>
      <c r="I57" s="1">
        <v>330</v>
      </c>
      <c r="J57" s="1">
        <v>400</v>
      </c>
      <c r="K57" s="5">
        <f t="shared" si="0"/>
        <v>0.82499999999999996</v>
      </c>
      <c r="L57" s="6">
        <f t="shared" si="1"/>
        <v>-0.17499999999999999</v>
      </c>
    </row>
    <row r="58" spans="1:12">
      <c r="A58" s="7" t="s">
        <v>176</v>
      </c>
      <c r="B58" s="7" t="str">
        <f>TEXT(Table2[[#This Row],[Date]],"mmmm")</f>
        <v>February</v>
      </c>
      <c r="C58" s="1" t="s">
        <v>16</v>
      </c>
      <c r="D58" s="1" t="s">
        <v>9</v>
      </c>
      <c r="E58" s="1" t="s">
        <v>23</v>
      </c>
      <c r="F58" s="1" t="s">
        <v>15</v>
      </c>
      <c r="G58" s="1">
        <v>11</v>
      </c>
      <c r="H58" s="1">
        <v>50</v>
      </c>
      <c r="I58" s="1">
        <v>550</v>
      </c>
      <c r="J58" s="1">
        <v>400</v>
      </c>
      <c r="K58" s="5">
        <f t="shared" si="0"/>
        <v>1.375</v>
      </c>
      <c r="L58" s="6">
        <f t="shared" si="1"/>
        <v>0.375</v>
      </c>
    </row>
    <row r="59" spans="1:12">
      <c r="A59" s="7" t="s">
        <v>175</v>
      </c>
      <c r="B59" s="7" t="str">
        <f>TEXT(Table2[[#This Row],[Date]],"mmmm")</f>
        <v>February</v>
      </c>
      <c r="C59" s="1" t="s">
        <v>12</v>
      </c>
      <c r="D59" s="1" t="s">
        <v>20</v>
      </c>
      <c r="E59" s="1" t="s">
        <v>21</v>
      </c>
      <c r="F59" s="1" t="s">
        <v>11</v>
      </c>
      <c r="G59" s="1">
        <v>8</v>
      </c>
      <c r="H59" s="1">
        <v>30</v>
      </c>
      <c r="I59" s="1">
        <v>240</v>
      </c>
      <c r="J59" s="1">
        <v>400</v>
      </c>
      <c r="K59" s="5">
        <f t="shared" si="0"/>
        <v>0.6</v>
      </c>
      <c r="L59" s="6">
        <f t="shared" si="1"/>
        <v>-0.4</v>
      </c>
    </row>
    <row r="60" spans="1:12">
      <c r="A60" s="7" t="s">
        <v>174</v>
      </c>
      <c r="B60" s="7" t="str">
        <f>TEXT(Table2[[#This Row],[Date]],"mmmm")</f>
        <v>February</v>
      </c>
      <c r="C60" s="1" t="s">
        <v>12</v>
      </c>
      <c r="D60" s="1" t="s">
        <v>9</v>
      </c>
      <c r="E60" s="1" t="s">
        <v>21</v>
      </c>
      <c r="F60" s="1" t="s">
        <v>18</v>
      </c>
      <c r="G60" s="1">
        <v>13</v>
      </c>
      <c r="H60" s="1">
        <v>50</v>
      </c>
      <c r="I60" s="1">
        <v>650</v>
      </c>
      <c r="J60" s="1">
        <v>400</v>
      </c>
      <c r="K60" s="5">
        <f t="shared" si="0"/>
        <v>1.625</v>
      </c>
      <c r="L60" s="6">
        <f t="shared" si="1"/>
        <v>0.625</v>
      </c>
    </row>
    <row r="61" spans="1:12">
      <c r="A61" s="7" t="s">
        <v>173</v>
      </c>
      <c r="B61" s="7" t="str">
        <f>TEXT(Table2[[#This Row],[Date]],"mmmm")</f>
        <v>February</v>
      </c>
      <c r="C61" s="1" t="s">
        <v>16</v>
      </c>
      <c r="D61" s="1" t="s">
        <v>20</v>
      </c>
      <c r="E61" s="1" t="s">
        <v>27</v>
      </c>
      <c r="F61" s="1" t="s">
        <v>22</v>
      </c>
      <c r="G61" s="1">
        <v>10</v>
      </c>
      <c r="H61" s="1">
        <v>40</v>
      </c>
      <c r="I61" s="1">
        <v>400</v>
      </c>
      <c r="J61" s="1">
        <v>400</v>
      </c>
      <c r="K61" s="5">
        <f t="shared" si="0"/>
        <v>1</v>
      </c>
      <c r="L61" s="6">
        <f t="shared" si="1"/>
        <v>0</v>
      </c>
    </row>
    <row r="62" spans="1:12">
      <c r="A62" s="7" t="s">
        <v>172</v>
      </c>
      <c r="B62" s="7" t="str">
        <f>TEXT(Table2[[#This Row],[Date]],"mmmm")</f>
        <v>March</v>
      </c>
      <c r="C62" s="1" t="s">
        <v>8</v>
      </c>
      <c r="D62" s="1" t="s">
        <v>20</v>
      </c>
      <c r="E62" s="1" t="s">
        <v>27</v>
      </c>
      <c r="F62" s="1" t="s">
        <v>18</v>
      </c>
      <c r="G62" s="1">
        <v>8</v>
      </c>
      <c r="H62" s="1">
        <v>50</v>
      </c>
      <c r="I62" s="1">
        <v>400</v>
      </c>
      <c r="J62" s="1">
        <v>400</v>
      </c>
      <c r="K62" s="5">
        <f t="shared" si="0"/>
        <v>1</v>
      </c>
      <c r="L62" s="6">
        <f t="shared" si="1"/>
        <v>0</v>
      </c>
    </row>
    <row r="63" spans="1:12">
      <c r="A63" s="7" t="s">
        <v>171</v>
      </c>
      <c r="B63" s="7" t="str">
        <f>TEXT(Table2[[#This Row],[Date]],"mmmm")</f>
        <v>March</v>
      </c>
      <c r="C63" s="1" t="s">
        <v>16</v>
      </c>
      <c r="D63" s="1" t="s">
        <v>20</v>
      </c>
      <c r="E63" s="1" t="s">
        <v>10</v>
      </c>
      <c r="F63" s="1" t="s">
        <v>18</v>
      </c>
      <c r="G63" s="1">
        <v>11</v>
      </c>
      <c r="H63" s="1">
        <v>25</v>
      </c>
      <c r="I63" s="1">
        <v>275</v>
      </c>
      <c r="J63" s="1">
        <v>400</v>
      </c>
      <c r="K63" s="5">
        <f t="shared" si="0"/>
        <v>0.6875</v>
      </c>
      <c r="L63" s="6">
        <f t="shared" si="1"/>
        <v>-0.3125</v>
      </c>
    </row>
    <row r="64" spans="1:12">
      <c r="A64" s="7" t="s">
        <v>170</v>
      </c>
      <c r="B64" s="7" t="str">
        <f>TEXT(Table2[[#This Row],[Date]],"mmmm")</f>
        <v>March</v>
      </c>
      <c r="C64" s="1" t="s">
        <v>12</v>
      </c>
      <c r="D64" s="1" t="s">
        <v>9</v>
      </c>
      <c r="E64" s="1" t="s">
        <v>14</v>
      </c>
      <c r="F64" s="1" t="s">
        <v>22</v>
      </c>
      <c r="G64" s="1">
        <v>6</v>
      </c>
      <c r="H64" s="1">
        <v>20</v>
      </c>
      <c r="I64" s="1">
        <v>120</v>
      </c>
      <c r="J64" s="1">
        <v>400</v>
      </c>
      <c r="K64" s="5">
        <f t="shared" si="0"/>
        <v>0.3</v>
      </c>
      <c r="L64" s="6">
        <f t="shared" si="1"/>
        <v>-0.7</v>
      </c>
    </row>
    <row r="65" spans="1:12">
      <c r="A65" s="7" t="s">
        <v>169</v>
      </c>
      <c r="B65" s="7" t="str">
        <f>TEXT(Table2[[#This Row],[Date]],"mmmm")</f>
        <v>March</v>
      </c>
      <c r="C65" s="1" t="s">
        <v>19</v>
      </c>
      <c r="D65" s="1" t="s">
        <v>13</v>
      </c>
      <c r="E65" s="1" t="s">
        <v>17</v>
      </c>
      <c r="F65" s="1" t="s">
        <v>11</v>
      </c>
      <c r="G65" s="1">
        <v>13</v>
      </c>
      <c r="H65" s="1">
        <v>20</v>
      </c>
      <c r="I65" s="1">
        <v>260</v>
      </c>
      <c r="J65" s="1">
        <v>400</v>
      </c>
      <c r="K65" s="5">
        <f t="shared" si="0"/>
        <v>0.65</v>
      </c>
      <c r="L65" s="6">
        <f t="shared" si="1"/>
        <v>-0.35</v>
      </c>
    </row>
    <row r="66" spans="1:12">
      <c r="A66" s="7" t="s">
        <v>168</v>
      </c>
      <c r="B66" s="7" t="str">
        <f>TEXT(Table2[[#This Row],[Date]],"mmmm")</f>
        <v>March</v>
      </c>
      <c r="C66" s="1" t="s">
        <v>12</v>
      </c>
      <c r="D66" s="1" t="s">
        <v>13</v>
      </c>
      <c r="E66" s="1" t="s">
        <v>14</v>
      </c>
      <c r="F66" s="1" t="s">
        <v>18</v>
      </c>
      <c r="G66" s="1">
        <v>10</v>
      </c>
      <c r="H66" s="1">
        <v>25</v>
      </c>
      <c r="I66" s="1">
        <v>250</v>
      </c>
      <c r="J66" s="1">
        <v>400</v>
      </c>
      <c r="K66" s="5">
        <f t="shared" ref="K66:K129" si="2">(I66/J66)</f>
        <v>0.625</v>
      </c>
      <c r="L66" s="6">
        <f t="shared" ref="L66:L129" si="3">(I66-J66)/J66</f>
        <v>-0.375</v>
      </c>
    </row>
    <row r="67" spans="1:12">
      <c r="A67" s="7" t="s">
        <v>167</v>
      </c>
      <c r="B67" s="7" t="str">
        <f>TEXT(Table2[[#This Row],[Date]],"mmmm")</f>
        <v>March</v>
      </c>
      <c r="C67" s="1" t="s">
        <v>8</v>
      </c>
      <c r="D67" s="1" t="s">
        <v>20</v>
      </c>
      <c r="E67" s="1" t="s">
        <v>23</v>
      </c>
      <c r="F67" s="1" t="s">
        <v>18</v>
      </c>
      <c r="G67" s="1">
        <v>13</v>
      </c>
      <c r="H67" s="1">
        <v>20</v>
      </c>
      <c r="I67" s="1">
        <v>260</v>
      </c>
      <c r="J67" s="1">
        <v>400</v>
      </c>
      <c r="K67" s="5">
        <f t="shared" si="2"/>
        <v>0.65</v>
      </c>
      <c r="L67" s="6">
        <f t="shared" si="3"/>
        <v>-0.35</v>
      </c>
    </row>
    <row r="68" spans="1:12">
      <c r="A68" s="7" t="s">
        <v>166</v>
      </c>
      <c r="B68" s="7" t="str">
        <f>TEXT(Table2[[#This Row],[Date]],"mmmm")</f>
        <v>March</v>
      </c>
      <c r="C68" s="1" t="s">
        <v>12</v>
      </c>
      <c r="D68" s="1" t="s">
        <v>9</v>
      </c>
      <c r="E68" s="1" t="s">
        <v>23</v>
      </c>
      <c r="F68" s="1" t="s">
        <v>22</v>
      </c>
      <c r="G68" s="1">
        <v>6</v>
      </c>
      <c r="H68" s="1">
        <v>30</v>
      </c>
      <c r="I68" s="1">
        <v>180</v>
      </c>
      <c r="J68" s="1">
        <v>400</v>
      </c>
      <c r="K68" s="5">
        <f t="shared" si="2"/>
        <v>0.45</v>
      </c>
      <c r="L68" s="6">
        <f t="shared" si="3"/>
        <v>-0.55000000000000004</v>
      </c>
    </row>
    <row r="69" spans="1:12">
      <c r="A69" s="7" t="s">
        <v>165</v>
      </c>
      <c r="B69" s="7" t="str">
        <f>TEXT(Table2[[#This Row],[Date]],"mmmm")</f>
        <v>March</v>
      </c>
      <c r="C69" s="1" t="s">
        <v>19</v>
      </c>
      <c r="D69" s="1" t="s">
        <v>13</v>
      </c>
      <c r="E69" s="1" t="s">
        <v>10</v>
      </c>
      <c r="F69" s="1" t="s">
        <v>22</v>
      </c>
      <c r="G69" s="1">
        <v>15</v>
      </c>
      <c r="H69" s="1">
        <v>50</v>
      </c>
      <c r="I69" s="1">
        <v>750</v>
      </c>
      <c r="J69" s="1">
        <v>400</v>
      </c>
      <c r="K69" s="5">
        <f t="shared" si="2"/>
        <v>1.875</v>
      </c>
      <c r="L69" s="6">
        <f t="shared" si="3"/>
        <v>0.875</v>
      </c>
    </row>
    <row r="70" spans="1:12">
      <c r="A70" s="7" t="s">
        <v>164</v>
      </c>
      <c r="B70" s="7" t="str">
        <f>TEXT(Table2[[#This Row],[Date]],"mmmm")</f>
        <v>March</v>
      </c>
      <c r="C70" s="1" t="s">
        <v>8</v>
      </c>
      <c r="D70" s="1" t="s">
        <v>13</v>
      </c>
      <c r="E70" s="1" t="s">
        <v>27</v>
      </c>
      <c r="F70" s="1" t="s">
        <v>18</v>
      </c>
      <c r="G70" s="1">
        <v>13</v>
      </c>
      <c r="H70" s="1">
        <v>40</v>
      </c>
      <c r="I70" s="1">
        <v>520</v>
      </c>
      <c r="J70" s="1">
        <v>400</v>
      </c>
      <c r="K70" s="5">
        <f t="shared" si="2"/>
        <v>1.3</v>
      </c>
      <c r="L70" s="6">
        <f t="shared" si="3"/>
        <v>0.3</v>
      </c>
    </row>
    <row r="71" spans="1:12">
      <c r="A71" s="7" t="s">
        <v>163</v>
      </c>
      <c r="B71" s="7" t="str">
        <f>TEXT(Table2[[#This Row],[Date]],"mmmm")</f>
        <v>March</v>
      </c>
      <c r="C71" s="1" t="s">
        <v>8</v>
      </c>
      <c r="D71" s="1" t="s">
        <v>13</v>
      </c>
      <c r="E71" s="1" t="s">
        <v>23</v>
      </c>
      <c r="F71" s="1" t="s">
        <v>11</v>
      </c>
      <c r="G71" s="1">
        <v>11</v>
      </c>
      <c r="H71" s="1">
        <v>50</v>
      </c>
      <c r="I71" s="1">
        <v>550</v>
      </c>
      <c r="J71" s="1">
        <v>400</v>
      </c>
      <c r="K71" s="5">
        <f t="shared" si="2"/>
        <v>1.375</v>
      </c>
      <c r="L71" s="6">
        <f t="shared" si="3"/>
        <v>0.375</v>
      </c>
    </row>
    <row r="72" spans="1:12">
      <c r="A72" s="7" t="s">
        <v>162</v>
      </c>
      <c r="B72" s="7" t="str">
        <f>TEXT(Table2[[#This Row],[Date]],"mmmm")</f>
        <v>March</v>
      </c>
      <c r="C72" s="1" t="s">
        <v>19</v>
      </c>
      <c r="D72" s="1" t="s">
        <v>9</v>
      </c>
      <c r="E72" s="1" t="s">
        <v>10</v>
      </c>
      <c r="F72" s="1" t="s">
        <v>22</v>
      </c>
      <c r="G72" s="1">
        <v>5</v>
      </c>
      <c r="H72" s="1">
        <v>30</v>
      </c>
      <c r="I72" s="1">
        <v>150</v>
      </c>
      <c r="J72" s="1">
        <v>400</v>
      </c>
      <c r="K72" s="5">
        <f t="shared" si="2"/>
        <v>0.375</v>
      </c>
      <c r="L72" s="6">
        <f t="shared" si="3"/>
        <v>-0.625</v>
      </c>
    </row>
    <row r="73" spans="1:12">
      <c r="A73" s="7" t="s">
        <v>161</v>
      </c>
      <c r="B73" s="7" t="str">
        <f>TEXT(Table2[[#This Row],[Date]],"mmmm")</f>
        <v>March</v>
      </c>
      <c r="C73" s="1" t="s">
        <v>19</v>
      </c>
      <c r="D73" s="1" t="s">
        <v>9</v>
      </c>
      <c r="E73" s="1" t="s">
        <v>21</v>
      </c>
      <c r="F73" s="1" t="s">
        <v>11</v>
      </c>
      <c r="G73" s="1">
        <v>15</v>
      </c>
      <c r="H73" s="1">
        <v>40</v>
      </c>
      <c r="I73" s="1">
        <v>600</v>
      </c>
      <c r="J73" s="1">
        <v>400</v>
      </c>
      <c r="K73" s="5">
        <f t="shared" si="2"/>
        <v>1.5</v>
      </c>
      <c r="L73" s="6">
        <f t="shared" si="3"/>
        <v>0.5</v>
      </c>
    </row>
    <row r="74" spans="1:12">
      <c r="A74" s="7" t="s">
        <v>160</v>
      </c>
      <c r="B74" s="7" t="str">
        <f>TEXT(Table2[[#This Row],[Date]],"mmmm")</f>
        <v>March</v>
      </c>
      <c r="C74" s="1" t="s">
        <v>16</v>
      </c>
      <c r="D74" s="1" t="s">
        <v>20</v>
      </c>
      <c r="E74" s="1" t="s">
        <v>10</v>
      </c>
      <c r="F74" s="1" t="s">
        <v>18</v>
      </c>
      <c r="G74" s="1">
        <v>12</v>
      </c>
      <c r="H74" s="1">
        <v>60</v>
      </c>
      <c r="I74" s="1">
        <v>720</v>
      </c>
      <c r="J74" s="1">
        <v>400</v>
      </c>
      <c r="K74" s="5">
        <f t="shared" si="2"/>
        <v>1.8</v>
      </c>
      <c r="L74" s="6">
        <f t="shared" si="3"/>
        <v>0.8</v>
      </c>
    </row>
    <row r="75" spans="1:12">
      <c r="A75" s="7" t="s">
        <v>159</v>
      </c>
      <c r="B75" s="7" t="str">
        <f>TEXT(Table2[[#This Row],[Date]],"mmmm")</f>
        <v>March</v>
      </c>
      <c r="C75" s="1" t="s">
        <v>16</v>
      </c>
      <c r="D75" s="1" t="s">
        <v>20</v>
      </c>
      <c r="E75" s="1" t="s">
        <v>14</v>
      </c>
      <c r="F75" s="1" t="s">
        <v>11</v>
      </c>
      <c r="G75" s="1">
        <v>7</v>
      </c>
      <c r="H75" s="1">
        <v>25</v>
      </c>
      <c r="I75" s="1">
        <v>175</v>
      </c>
      <c r="J75" s="1">
        <v>400</v>
      </c>
      <c r="K75" s="5">
        <f t="shared" si="2"/>
        <v>0.4375</v>
      </c>
      <c r="L75" s="6">
        <f t="shared" si="3"/>
        <v>-0.5625</v>
      </c>
    </row>
    <row r="76" spans="1:12">
      <c r="A76" s="7" t="s">
        <v>158</v>
      </c>
      <c r="B76" s="7" t="str">
        <f>TEXT(Table2[[#This Row],[Date]],"mmmm")</f>
        <v>March</v>
      </c>
      <c r="C76" s="1" t="s">
        <v>12</v>
      </c>
      <c r="D76" s="1" t="s">
        <v>9</v>
      </c>
      <c r="E76" s="1" t="s">
        <v>27</v>
      </c>
      <c r="F76" s="1" t="s">
        <v>22</v>
      </c>
      <c r="G76" s="1">
        <v>13</v>
      </c>
      <c r="H76" s="1">
        <v>20</v>
      </c>
      <c r="I76" s="1">
        <v>260</v>
      </c>
      <c r="J76" s="1">
        <v>400</v>
      </c>
      <c r="K76" s="5">
        <f t="shared" si="2"/>
        <v>0.65</v>
      </c>
      <c r="L76" s="6">
        <f t="shared" si="3"/>
        <v>-0.35</v>
      </c>
    </row>
    <row r="77" spans="1:12">
      <c r="A77" s="7" t="s">
        <v>157</v>
      </c>
      <c r="B77" s="7" t="str">
        <f>TEXT(Table2[[#This Row],[Date]],"mmmm")</f>
        <v>March</v>
      </c>
      <c r="C77" s="1" t="s">
        <v>16</v>
      </c>
      <c r="D77" s="1" t="s">
        <v>13</v>
      </c>
      <c r="E77" s="1" t="s">
        <v>23</v>
      </c>
      <c r="F77" s="1" t="s">
        <v>22</v>
      </c>
      <c r="G77" s="1">
        <v>12</v>
      </c>
      <c r="H77" s="1">
        <v>60</v>
      </c>
      <c r="I77" s="1">
        <v>720</v>
      </c>
      <c r="J77" s="1">
        <v>400</v>
      </c>
      <c r="K77" s="5">
        <f t="shared" si="2"/>
        <v>1.8</v>
      </c>
      <c r="L77" s="6">
        <f t="shared" si="3"/>
        <v>0.8</v>
      </c>
    </row>
    <row r="78" spans="1:12">
      <c r="A78" s="7" t="s">
        <v>156</v>
      </c>
      <c r="B78" s="7" t="str">
        <f>TEXT(Table2[[#This Row],[Date]],"mmmm")</f>
        <v>March</v>
      </c>
      <c r="C78" s="1" t="s">
        <v>12</v>
      </c>
      <c r="D78" s="1" t="s">
        <v>9</v>
      </c>
      <c r="E78" s="1" t="s">
        <v>21</v>
      </c>
      <c r="F78" s="1" t="s">
        <v>22</v>
      </c>
      <c r="G78" s="1">
        <v>7</v>
      </c>
      <c r="H78" s="1">
        <v>60</v>
      </c>
      <c r="I78" s="1">
        <v>420</v>
      </c>
      <c r="J78" s="1">
        <v>400</v>
      </c>
      <c r="K78" s="5">
        <f t="shared" si="2"/>
        <v>1.05</v>
      </c>
      <c r="L78" s="6">
        <f t="shared" si="3"/>
        <v>0.05</v>
      </c>
    </row>
    <row r="79" spans="1:12">
      <c r="A79" s="7" t="s">
        <v>155</v>
      </c>
      <c r="B79" s="7" t="str">
        <f>TEXT(Table2[[#This Row],[Date]],"mmmm")</f>
        <v>March</v>
      </c>
      <c r="C79" s="1" t="s">
        <v>16</v>
      </c>
      <c r="D79" s="1" t="s">
        <v>20</v>
      </c>
      <c r="E79" s="1" t="s">
        <v>21</v>
      </c>
      <c r="F79" s="1" t="s">
        <v>15</v>
      </c>
      <c r="G79" s="1">
        <v>9</v>
      </c>
      <c r="H79" s="1">
        <v>60</v>
      </c>
      <c r="I79" s="1">
        <v>540</v>
      </c>
      <c r="J79" s="1">
        <v>400</v>
      </c>
      <c r="K79" s="5">
        <f t="shared" si="2"/>
        <v>1.35</v>
      </c>
      <c r="L79" s="6">
        <f t="shared" si="3"/>
        <v>0.35</v>
      </c>
    </row>
    <row r="80" spans="1:12">
      <c r="A80" s="7" t="s">
        <v>154</v>
      </c>
      <c r="B80" s="7" t="str">
        <f>TEXT(Table2[[#This Row],[Date]],"mmmm")</f>
        <v>March</v>
      </c>
      <c r="C80" s="1" t="s">
        <v>12</v>
      </c>
      <c r="D80" s="1" t="s">
        <v>13</v>
      </c>
      <c r="E80" s="1" t="s">
        <v>14</v>
      </c>
      <c r="F80" s="1" t="s">
        <v>15</v>
      </c>
      <c r="G80" s="1">
        <v>13</v>
      </c>
      <c r="H80" s="1">
        <v>40</v>
      </c>
      <c r="I80" s="1">
        <v>520</v>
      </c>
      <c r="J80" s="1">
        <v>400</v>
      </c>
      <c r="K80" s="5">
        <f t="shared" si="2"/>
        <v>1.3</v>
      </c>
      <c r="L80" s="6">
        <f t="shared" si="3"/>
        <v>0.3</v>
      </c>
    </row>
    <row r="81" spans="1:12">
      <c r="A81" s="7" t="s">
        <v>153</v>
      </c>
      <c r="B81" s="7" t="str">
        <f>TEXT(Table2[[#This Row],[Date]],"mmmm")</f>
        <v>March</v>
      </c>
      <c r="C81" s="1" t="s">
        <v>8</v>
      </c>
      <c r="D81" s="1" t="s">
        <v>20</v>
      </c>
      <c r="E81" s="1" t="s">
        <v>17</v>
      </c>
      <c r="F81" s="1" t="s">
        <v>11</v>
      </c>
      <c r="G81" s="1">
        <v>8</v>
      </c>
      <c r="H81" s="1">
        <v>25</v>
      </c>
      <c r="I81" s="1">
        <v>200</v>
      </c>
      <c r="J81" s="1">
        <v>400</v>
      </c>
      <c r="K81" s="5">
        <f t="shared" si="2"/>
        <v>0.5</v>
      </c>
      <c r="L81" s="6">
        <f t="shared" si="3"/>
        <v>-0.5</v>
      </c>
    </row>
    <row r="82" spans="1:12">
      <c r="A82" s="7" t="s">
        <v>152</v>
      </c>
      <c r="B82" s="7" t="str">
        <f>TEXT(Table2[[#This Row],[Date]],"mmmm")</f>
        <v>March</v>
      </c>
      <c r="C82" s="1" t="s">
        <v>12</v>
      </c>
      <c r="D82" s="1" t="s">
        <v>9</v>
      </c>
      <c r="E82" s="1" t="s">
        <v>27</v>
      </c>
      <c r="F82" s="1" t="s">
        <v>22</v>
      </c>
      <c r="G82" s="1">
        <v>6</v>
      </c>
      <c r="H82" s="1">
        <v>25</v>
      </c>
      <c r="I82" s="1">
        <v>150</v>
      </c>
      <c r="J82" s="1">
        <v>400</v>
      </c>
      <c r="K82" s="5">
        <f t="shared" si="2"/>
        <v>0.375</v>
      </c>
      <c r="L82" s="6">
        <f t="shared" si="3"/>
        <v>-0.625</v>
      </c>
    </row>
    <row r="83" spans="1:12">
      <c r="A83" s="7" t="s">
        <v>151</v>
      </c>
      <c r="B83" s="7" t="str">
        <f>TEXT(Table2[[#This Row],[Date]],"mmmm")</f>
        <v>March</v>
      </c>
      <c r="C83" s="1" t="s">
        <v>16</v>
      </c>
      <c r="D83" s="1" t="s">
        <v>9</v>
      </c>
      <c r="E83" s="1" t="s">
        <v>23</v>
      </c>
      <c r="F83" s="1" t="s">
        <v>18</v>
      </c>
      <c r="G83" s="1">
        <v>10</v>
      </c>
      <c r="H83" s="1">
        <v>25</v>
      </c>
      <c r="I83" s="1">
        <v>250</v>
      </c>
      <c r="J83" s="1">
        <v>400</v>
      </c>
      <c r="K83" s="5">
        <f t="shared" si="2"/>
        <v>0.625</v>
      </c>
      <c r="L83" s="6">
        <f t="shared" si="3"/>
        <v>-0.375</v>
      </c>
    </row>
    <row r="84" spans="1:12">
      <c r="A84" s="7" t="s">
        <v>150</v>
      </c>
      <c r="B84" s="7" t="str">
        <f>TEXT(Table2[[#This Row],[Date]],"mmmm")</f>
        <v>March</v>
      </c>
      <c r="C84" s="1" t="s">
        <v>8</v>
      </c>
      <c r="D84" s="1" t="s">
        <v>20</v>
      </c>
      <c r="E84" s="1" t="s">
        <v>21</v>
      </c>
      <c r="F84" s="1" t="s">
        <v>18</v>
      </c>
      <c r="G84" s="1">
        <v>15</v>
      </c>
      <c r="H84" s="1">
        <v>20</v>
      </c>
      <c r="I84" s="1">
        <v>300</v>
      </c>
      <c r="J84" s="1">
        <v>400</v>
      </c>
      <c r="K84" s="5">
        <f t="shared" si="2"/>
        <v>0.75</v>
      </c>
      <c r="L84" s="6">
        <f t="shared" si="3"/>
        <v>-0.25</v>
      </c>
    </row>
    <row r="85" spans="1:12">
      <c r="A85" s="7" t="s">
        <v>149</v>
      </c>
      <c r="B85" s="7" t="str">
        <f>TEXT(Table2[[#This Row],[Date]],"mmmm")</f>
        <v>March</v>
      </c>
      <c r="C85" s="1" t="s">
        <v>19</v>
      </c>
      <c r="D85" s="1" t="s">
        <v>9</v>
      </c>
      <c r="E85" s="1" t="s">
        <v>10</v>
      </c>
      <c r="F85" s="1" t="s">
        <v>22</v>
      </c>
      <c r="G85" s="1">
        <v>6</v>
      </c>
      <c r="H85" s="1">
        <v>30</v>
      </c>
      <c r="I85" s="1">
        <v>180</v>
      </c>
      <c r="J85" s="1">
        <v>400</v>
      </c>
      <c r="K85" s="5">
        <f t="shared" si="2"/>
        <v>0.45</v>
      </c>
      <c r="L85" s="6">
        <f t="shared" si="3"/>
        <v>-0.55000000000000004</v>
      </c>
    </row>
    <row r="86" spans="1:12">
      <c r="A86" s="7" t="s">
        <v>148</v>
      </c>
      <c r="B86" s="7" t="str">
        <f>TEXT(Table2[[#This Row],[Date]],"mmmm")</f>
        <v>March</v>
      </c>
      <c r="C86" s="1" t="s">
        <v>19</v>
      </c>
      <c r="D86" s="1" t="s">
        <v>9</v>
      </c>
      <c r="E86" s="1" t="s">
        <v>17</v>
      </c>
      <c r="F86" s="1" t="s">
        <v>11</v>
      </c>
      <c r="G86" s="1">
        <v>5</v>
      </c>
      <c r="H86" s="1">
        <v>20</v>
      </c>
      <c r="I86" s="1">
        <v>100</v>
      </c>
      <c r="J86" s="1">
        <v>400</v>
      </c>
      <c r="K86" s="5">
        <f t="shared" si="2"/>
        <v>0.25</v>
      </c>
      <c r="L86" s="6">
        <f t="shared" si="3"/>
        <v>-0.75</v>
      </c>
    </row>
    <row r="87" spans="1:12">
      <c r="A87" s="7" t="s">
        <v>147</v>
      </c>
      <c r="B87" s="7" t="str">
        <f>TEXT(Table2[[#This Row],[Date]],"mmmm")</f>
        <v>March</v>
      </c>
      <c r="C87" s="1" t="s">
        <v>12</v>
      </c>
      <c r="D87" s="1" t="s">
        <v>13</v>
      </c>
      <c r="E87" s="1" t="s">
        <v>10</v>
      </c>
      <c r="F87" s="1" t="s">
        <v>22</v>
      </c>
      <c r="G87" s="1">
        <v>10</v>
      </c>
      <c r="H87" s="1">
        <v>25</v>
      </c>
      <c r="I87" s="1">
        <v>250</v>
      </c>
      <c r="J87" s="1">
        <v>400</v>
      </c>
      <c r="K87" s="5">
        <f t="shared" si="2"/>
        <v>0.625</v>
      </c>
      <c r="L87" s="6">
        <f t="shared" si="3"/>
        <v>-0.375</v>
      </c>
    </row>
    <row r="88" spans="1:12">
      <c r="A88" s="7" t="s">
        <v>146</v>
      </c>
      <c r="B88" s="7" t="str">
        <f>TEXT(Table2[[#This Row],[Date]],"mmmm")</f>
        <v>March</v>
      </c>
      <c r="C88" s="1" t="s">
        <v>8</v>
      </c>
      <c r="D88" s="1" t="s">
        <v>20</v>
      </c>
      <c r="E88" s="1" t="s">
        <v>21</v>
      </c>
      <c r="F88" s="1" t="s">
        <v>11</v>
      </c>
      <c r="G88" s="1">
        <v>7</v>
      </c>
      <c r="H88" s="1">
        <v>30</v>
      </c>
      <c r="I88" s="1">
        <v>210</v>
      </c>
      <c r="J88" s="1">
        <v>400</v>
      </c>
      <c r="K88" s="5">
        <f t="shared" si="2"/>
        <v>0.52500000000000002</v>
      </c>
      <c r="L88" s="6">
        <f t="shared" si="3"/>
        <v>-0.47499999999999998</v>
      </c>
    </row>
    <row r="89" spans="1:12">
      <c r="A89" s="7" t="s">
        <v>145</v>
      </c>
      <c r="B89" s="7" t="str">
        <f>TEXT(Table2[[#This Row],[Date]],"mmmm")</f>
        <v>March</v>
      </c>
      <c r="C89" s="1" t="s">
        <v>12</v>
      </c>
      <c r="D89" s="1" t="s">
        <v>20</v>
      </c>
      <c r="E89" s="1" t="s">
        <v>10</v>
      </c>
      <c r="F89" s="1" t="s">
        <v>15</v>
      </c>
      <c r="G89" s="1">
        <v>12</v>
      </c>
      <c r="H89" s="1">
        <v>50</v>
      </c>
      <c r="I89" s="1">
        <v>600</v>
      </c>
      <c r="J89" s="1">
        <v>400</v>
      </c>
      <c r="K89" s="5">
        <f t="shared" si="2"/>
        <v>1.5</v>
      </c>
      <c r="L89" s="6">
        <f t="shared" si="3"/>
        <v>0.5</v>
      </c>
    </row>
    <row r="90" spans="1:12">
      <c r="A90" s="7" t="s">
        <v>144</v>
      </c>
      <c r="B90" s="7" t="str">
        <f>TEXT(Table2[[#This Row],[Date]],"mmmm")</f>
        <v>March</v>
      </c>
      <c r="C90" s="1" t="s">
        <v>8</v>
      </c>
      <c r="D90" s="1" t="s">
        <v>13</v>
      </c>
      <c r="E90" s="1" t="s">
        <v>17</v>
      </c>
      <c r="F90" s="1" t="s">
        <v>18</v>
      </c>
      <c r="G90" s="1">
        <v>13</v>
      </c>
      <c r="H90" s="1">
        <v>25</v>
      </c>
      <c r="I90" s="1">
        <v>325</v>
      </c>
      <c r="J90" s="1">
        <v>400</v>
      </c>
      <c r="K90" s="5">
        <f t="shared" si="2"/>
        <v>0.8125</v>
      </c>
      <c r="L90" s="6">
        <f t="shared" si="3"/>
        <v>-0.1875</v>
      </c>
    </row>
    <row r="91" spans="1:12">
      <c r="A91" s="7" t="s">
        <v>143</v>
      </c>
      <c r="B91" s="7" t="str">
        <f>TEXT(Table2[[#This Row],[Date]],"mmmm")</f>
        <v>March</v>
      </c>
      <c r="C91" s="1" t="s">
        <v>12</v>
      </c>
      <c r="D91" s="1" t="s">
        <v>20</v>
      </c>
      <c r="E91" s="1" t="s">
        <v>10</v>
      </c>
      <c r="F91" s="1" t="s">
        <v>22</v>
      </c>
      <c r="G91" s="1">
        <v>10</v>
      </c>
      <c r="H91" s="1">
        <v>40</v>
      </c>
      <c r="I91" s="1">
        <v>400</v>
      </c>
      <c r="J91" s="1">
        <v>400</v>
      </c>
      <c r="K91" s="5">
        <f t="shared" si="2"/>
        <v>1</v>
      </c>
      <c r="L91" s="6">
        <f t="shared" si="3"/>
        <v>0</v>
      </c>
    </row>
    <row r="92" spans="1:12">
      <c r="A92" s="7" t="s">
        <v>142</v>
      </c>
      <c r="B92" s="7" t="str">
        <f>TEXT(Table2[[#This Row],[Date]],"mmmm")</f>
        <v>March</v>
      </c>
      <c r="C92" s="1" t="s">
        <v>19</v>
      </c>
      <c r="D92" s="1" t="s">
        <v>9</v>
      </c>
      <c r="E92" s="1" t="s">
        <v>17</v>
      </c>
      <c r="F92" s="1" t="s">
        <v>18</v>
      </c>
      <c r="G92" s="1">
        <v>14</v>
      </c>
      <c r="H92" s="1">
        <v>30</v>
      </c>
      <c r="I92" s="1">
        <v>420</v>
      </c>
      <c r="J92" s="1">
        <v>400</v>
      </c>
      <c r="K92" s="5">
        <f t="shared" si="2"/>
        <v>1.05</v>
      </c>
      <c r="L92" s="6">
        <f t="shared" si="3"/>
        <v>0.05</v>
      </c>
    </row>
    <row r="93" spans="1:12">
      <c r="A93" s="7" t="s">
        <v>141</v>
      </c>
      <c r="B93" s="7" t="str">
        <f>TEXT(Table2[[#This Row],[Date]],"mmmm")</f>
        <v>April</v>
      </c>
      <c r="C93" s="1" t="s">
        <v>19</v>
      </c>
      <c r="D93" s="1" t="s">
        <v>13</v>
      </c>
      <c r="E93" s="1" t="s">
        <v>10</v>
      </c>
      <c r="F93" s="1" t="s">
        <v>22</v>
      </c>
      <c r="G93" s="1">
        <v>15</v>
      </c>
      <c r="H93" s="1">
        <v>40</v>
      </c>
      <c r="I93" s="1">
        <v>600</v>
      </c>
      <c r="J93" s="1">
        <v>400</v>
      </c>
      <c r="K93" s="5">
        <f t="shared" si="2"/>
        <v>1.5</v>
      </c>
      <c r="L93" s="6">
        <f t="shared" si="3"/>
        <v>0.5</v>
      </c>
    </row>
    <row r="94" spans="1:12">
      <c r="A94" s="7" t="s">
        <v>140</v>
      </c>
      <c r="B94" s="7" t="str">
        <f>TEXT(Table2[[#This Row],[Date]],"mmmm")</f>
        <v>April</v>
      </c>
      <c r="C94" s="1" t="s">
        <v>16</v>
      </c>
      <c r="D94" s="1" t="s">
        <v>20</v>
      </c>
      <c r="E94" s="1" t="s">
        <v>27</v>
      </c>
      <c r="F94" s="1" t="s">
        <v>15</v>
      </c>
      <c r="G94" s="1">
        <v>15</v>
      </c>
      <c r="H94" s="1">
        <v>60</v>
      </c>
      <c r="I94" s="1">
        <v>900</v>
      </c>
      <c r="J94" s="1">
        <v>400</v>
      </c>
      <c r="K94" s="5">
        <f t="shared" si="2"/>
        <v>2.25</v>
      </c>
      <c r="L94" s="6">
        <f t="shared" si="3"/>
        <v>1.25</v>
      </c>
    </row>
    <row r="95" spans="1:12">
      <c r="A95" s="7" t="s">
        <v>139</v>
      </c>
      <c r="B95" s="7" t="str">
        <f>TEXT(Table2[[#This Row],[Date]],"mmmm")</f>
        <v>April</v>
      </c>
      <c r="C95" s="1" t="s">
        <v>16</v>
      </c>
      <c r="D95" s="1" t="s">
        <v>20</v>
      </c>
      <c r="E95" s="1" t="s">
        <v>21</v>
      </c>
      <c r="F95" s="1" t="s">
        <v>18</v>
      </c>
      <c r="G95" s="1">
        <v>6</v>
      </c>
      <c r="H95" s="1">
        <v>25</v>
      </c>
      <c r="I95" s="1">
        <v>150</v>
      </c>
      <c r="J95" s="1">
        <v>400</v>
      </c>
      <c r="K95" s="5">
        <f t="shared" si="2"/>
        <v>0.375</v>
      </c>
      <c r="L95" s="6">
        <f t="shared" si="3"/>
        <v>-0.625</v>
      </c>
    </row>
    <row r="96" spans="1:12">
      <c r="A96" s="7" t="s">
        <v>138</v>
      </c>
      <c r="B96" s="7" t="str">
        <f>TEXT(Table2[[#This Row],[Date]],"mmmm")</f>
        <v>April</v>
      </c>
      <c r="C96" s="1" t="s">
        <v>8</v>
      </c>
      <c r="D96" s="1" t="s">
        <v>20</v>
      </c>
      <c r="E96" s="1" t="s">
        <v>21</v>
      </c>
      <c r="F96" s="1" t="s">
        <v>11</v>
      </c>
      <c r="G96" s="1">
        <v>13</v>
      </c>
      <c r="H96" s="1">
        <v>30</v>
      </c>
      <c r="I96" s="1">
        <v>390</v>
      </c>
      <c r="J96" s="1">
        <v>400</v>
      </c>
      <c r="K96" s="5">
        <f t="shared" si="2"/>
        <v>0.97499999999999998</v>
      </c>
      <c r="L96" s="6">
        <f t="shared" si="3"/>
        <v>-2.5000000000000001E-2</v>
      </c>
    </row>
    <row r="97" spans="1:12">
      <c r="A97" s="7" t="s">
        <v>137</v>
      </c>
      <c r="B97" s="7" t="str">
        <f>TEXT(Table2[[#This Row],[Date]],"mmmm")</f>
        <v>April</v>
      </c>
      <c r="C97" s="1" t="s">
        <v>8</v>
      </c>
      <c r="D97" s="1" t="s">
        <v>9</v>
      </c>
      <c r="E97" s="1" t="s">
        <v>14</v>
      </c>
      <c r="F97" s="1" t="s">
        <v>18</v>
      </c>
      <c r="G97" s="1">
        <v>5</v>
      </c>
      <c r="H97" s="1">
        <v>50</v>
      </c>
      <c r="I97" s="1">
        <v>250</v>
      </c>
      <c r="J97" s="1">
        <v>400</v>
      </c>
      <c r="K97" s="5">
        <f t="shared" si="2"/>
        <v>0.625</v>
      </c>
      <c r="L97" s="6">
        <f t="shared" si="3"/>
        <v>-0.375</v>
      </c>
    </row>
    <row r="98" spans="1:12">
      <c r="A98" s="7" t="s">
        <v>136</v>
      </c>
      <c r="B98" s="7" t="str">
        <f>TEXT(Table2[[#This Row],[Date]],"mmmm")</f>
        <v>April</v>
      </c>
      <c r="C98" s="1" t="s">
        <v>19</v>
      </c>
      <c r="D98" s="1" t="s">
        <v>9</v>
      </c>
      <c r="E98" s="1" t="s">
        <v>21</v>
      </c>
      <c r="F98" s="1" t="s">
        <v>18</v>
      </c>
      <c r="G98" s="1">
        <v>8</v>
      </c>
      <c r="H98" s="1">
        <v>40</v>
      </c>
      <c r="I98" s="1">
        <v>320</v>
      </c>
      <c r="J98" s="1">
        <v>400</v>
      </c>
      <c r="K98" s="5">
        <f t="shared" si="2"/>
        <v>0.8</v>
      </c>
      <c r="L98" s="6">
        <f t="shared" si="3"/>
        <v>-0.2</v>
      </c>
    </row>
    <row r="99" spans="1:12">
      <c r="A99" s="7" t="s">
        <v>135</v>
      </c>
      <c r="B99" s="7" t="str">
        <f>TEXT(Table2[[#This Row],[Date]],"mmmm")</f>
        <v>April</v>
      </c>
      <c r="C99" s="1" t="s">
        <v>8</v>
      </c>
      <c r="D99" s="1" t="s">
        <v>20</v>
      </c>
      <c r="E99" s="1" t="s">
        <v>14</v>
      </c>
      <c r="F99" s="1" t="s">
        <v>22</v>
      </c>
      <c r="G99" s="1">
        <v>15</v>
      </c>
      <c r="H99" s="1">
        <v>50</v>
      </c>
      <c r="I99" s="1">
        <v>750</v>
      </c>
      <c r="J99" s="1">
        <v>400</v>
      </c>
      <c r="K99" s="5">
        <f t="shared" si="2"/>
        <v>1.875</v>
      </c>
      <c r="L99" s="6">
        <f t="shared" si="3"/>
        <v>0.875</v>
      </c>
    </row>
    <row r="100" spans="1:12">
      <c r="A100" s="7" t="s">
        <v>134</v>
      </c>
      <c r="B100" s="7" t="str">
        <f>TEXT(Table2[[#This Row],[Date]],"mmmm")</f>
        <v>April</v>
      </c>
      <c r="C100" s="1" t="s">
        <v>16</v>
      </c>
      <c r="D100" s="1" t="s">
        <v>20</v>
      </c>
      <c r="E100" s="1" t="s">
        <v>10</v>
      </c>
      <c r="F100" s="1" t="s">
        <v>11</v>
      </c>
      <c r="G100" s="1">
        <v>11</v>
      </c>
      <c r="H100" s="1">
        <v>40</v>
      </c>
      <c r="I100" s="1">
        <v>440</v>
      </c>
      <c r="J100" s="1">
        <v>400</v>
      </c>
      <c r="K100" s="5">
        <f t="shared" si="2"/>
        <v>1.1000000000000001</v>
      </c>
      <c r="L100" s="6">
        <f t="shared" si="3"/>
        <v>0.1</v>
      </c>
    </row>
    <row r="101" spans="1:12">
      <c r="A101" s="7" t="s">
        <v>133</v>
      </c>
      <c r="B101" s="7" t="str">
        <f>TEXT(Table2[[#This Row],[Date]],"mmmm")</f>
        <v>April</v>
      </c>
      <c r="C101" s="1" t="s">
        <v>16</v>
      </c>
      <c r="D101" s="1" t="s">
        <v>9</v>
      </c>
      <c r="E101" s="1" t="s">
        <v>17</v>
      </c>
      <c r="F101" s="1" t="s">
        <v>15</v>
      </c>
      <c r="G101" s="1">
        <v>12</v>
      </c>
      <c r="H101" s="1">
        <v>25</v>
      </c>
      <c r="I101" s="1">
        <v>300</v>
      </c>
      <c r="J101" s="1">
        <v>400</v>
      </c>
      <c r="K101" s="5">
        <f t="shared" si="2"/>
        <v>0.75</v>
      </c>
      <c r="L101" s="6">
        <f t="shared" si="3"/>
        <v>-0.25</v>
      </c>
    </row>
    <row r="102" spans="1:12">
      <c r="A102" s="7" t="s">
        <v>132</v>
      </c>
      <c r="B102" s="7" t="str">
        <f>TEXT(Table2[[#This Row],[Date]],"mmmm")</f>
        <v>April</v>
      </c>
      <c r="C102" s="1" t="s">
        <v>19</v>
      </c>
      <c r="D102" s="1" t="s">
        <v>20</v>
      </c>
      <c r="E102" s="1" t="s">
        <v>10</v>
      </c>
      <c r="F102" s="1" t="s">
        <v>18</v>
      </c>
      <c r="G102" s="1">
        <v>5</v>
      </c>
      <c r="H102" s="1">
        <v>20</v>
      </c>
      <c r="I102" s="1">
        <v>100</v>
      </c>
      <c r="J102" s="1">
        <v>400</v>
      </c>
      <c r="K102" s="5">
        <f t="shared" si="2"/>
        <v>0.25</v>
      </c>
      <c r="L102" s="6">
        <f t="shared" si="3"/>
        <v>-0.75</v>
      </c>
    </row>
    <row r="103" spans="1:12">
      <c r="A103" s="7" t="s">
        <v>131</v>
      </c>
      <c r="B103" s="7" t="str">
        <f>TEXT(Table2[[#This Row],[Date]],"mmmm")</f>
        <v>April</v>
      </c>
      <c r="C103" s="1" t="s">
        <v>19</v>
      </c>
      <c r="D103" s="1" t="s">
        <v>13</v>
      </c>
      <c r="E103" s="1" t="s">
        <v>10</v>
      </c>
      <c r="F103" s="1" t="s">
        <v>18</v>
      </c>
      <c r="G103" s="1">
        <v>8</v>
      </c>
      <c r="H103" s="1">
        <v>40</v>
      </c>
      <c r="I103" s="1">
        <v>320</v>
      </c>
      <c r="J103" s="1">
        <v>400</v>
      </c>
      <c r="K103" s="5">
        <f t="shared" si="2"/>
        <v>0.8</v>
      </c>
      <c r="L103" s="6">
        <f t="shared" si="3"/>
        <v>-0.2</v>
      </c>
    </row>
    <row r="104" spans="1:12">
      <c r="A104" s="7" t="s">
        <v>130</v>
      </c>
      <c r="B104" s="7" t="str">
        <f>TEXT(Table2[[#This Row],[Date]],"mmmm")</f>
        <v>April</v>
      </c>
      <c r="C104" s="1" t="s">
        <v>8</v>
      </c>
      <c r="D104" s="1" t="s">
        <v>20</v>
      </c>
      <c r="E104" s="1" t="s">
        <v>27</v>
      </c>
      <c r="F104" s="1" t="s">
        <v>18</v>
      </c>
      <c r="G104" s="1">
        <v>15</v>
      </c>
      <c r="H104" s="1">
        <v>40</v>
      </c>
      <c r="I104" s="1">
        <v>600</v>
      </c>
      <c r="J104" s="1">
        <v>400</v>
      </c>
      <c r="K104" s="5">
        <f t="shared" si="2"/>
        <v>1.5</v>
      </c>
      <c r="L104" s="6">
        <f t="shared" si="3"/>
        <v>0.5</v>
      </c>
    </row>
    <row r="105" spans="1:12">
      <c r="A105" s="7" t="s">
        <v>129</v>
      </c>
      <c r="B105" s="7" t="str">
        <f>TEXT(Table2[[#This Row],[Date]],"mmmm")</f>
        <v>April</v>
      </c>
      <c r="C105" s="1" t="s">
        <v>8</v>
      </c>
      <c r="D105" s="1" t="s">
        <v>13</v>
      </c>
      <c r="E105" s="1" t="s">
        <v>27</v>
      </c>
      <c r="F105" s="1" t="s">
        <v>18</v>
      </c>
      <c r="G105" s="1">
        <v>8</v>
      </c>
      <c r="H105" s="1">
        <v>30</v>
      </c>
      <c r="I105" s="1">
        <v>240</v>
      </c>
      <c r="J105" s="1">
        <v>400</v>
      </c>
      <c r="K105" s="5">
        <f t="shared" si="2"/>
        <v>0.6</v>
      </c>
      <c r="L105" s="6">
        <f t="shared" si="3"/>
        <v>-0.4</v>
      </c>
    </row>
    <row r="106" spans="1:12">
      <c r="A106" s="7" t="s">
        <v>128</v>
      </c>
      <c r="B106" s="7" t="str">
        <f>TEXT(Table2[[#This Row],[Date]],"mmmm")</f>
        <v>April</v>
      </c>
      <c r="C106" s="1" t="s">
        <v>12</v>
      </c>
      <c r="D106" s="1" t="s">
        <v>13</v>
      </c>
      <c r="E106" s="1" t="s">
        <v>27</v>
      </c>
      <c r="F106" s="1" t="s">
        <v>22</v>
      </c>
      <c r="G106" s="1">
        <v>15</v>
      </c>
      <c r="H106" s="1">
        <v>40</v>
      </c>
      <c r="I106" s="1">
        <v>600</v>
      </c>
      <c r="J106" s="1">
        <v>400</v>
      </c>
      <c r="K106" s="5">
        <f t="shared" si="2"/>
        <v>1.5</v>
      </c>
      <c r="L106" s="6">
        <f t="shared" si="3"/>
        <v>0.5</v>
      </c>
    </row>
    <row r="107" spans="1:12">
      <c r="A107" s="7" t="s">
        <v>127</v>
      </c>
      <c r="B107" s="7" t="str">
        <f>TEXT(Table2[[#This Row],[Date]],"mmmm")</f>
        <v>April</v>
      </c>
      <c r="C107" s="1" t="s">
        <v>16</v>
      </c>
      <c r="D107" s="1" t="s">
        <v>20</v>
      </c>
      <c r="E107" s="1" t="s">
        <v>23</v>
      </c>
      <c r="F107" s="1" t="s">
        <v>15</v>
      </c>
      <c r="G107" s="1">
        <v>12</v>
      </c>
      <c r="H107" s="1">
        <v>30</v>
      </c>
      <c r="I107" s="1">
        <v>360</v>
      </c>
      <c r="J107" s="1">
        <v>400</v>
      </c>
      <c r="K107" s="5">
        <f t="shared" si="2"/>
        <v>0.9</v>
      </c>
      <c r="L107" s="6">
        <f t="shared" si="3"/>
        <v>-0.1</v>
      </c>
    </row>
    <row r="108" spans="1:12">
      <c r="A108" s="7" t="s">
        <v>126</v>
      </c>
      <c r="B108" s="7" t="str">
        <f>TEXT(Table2[[#This Row],[Date]],"mmmm")</f>
        <v>April</v>
      </c>
      <c r="C108" s="1" t="s">
        <v>8</v>
      </c>
      <c r="D108" s="1" t="s">
        <v>9</v>
      </c>
      <c r="E108" s="1" t="s">
        <v>17</v>
      </c>
      <c r="F108" s="1" t="s">
        <v>22</v>
      </c>
      <c r="G108" s="1">
        <v>6</v>
      </c>
      <c r="H108" s="1">
        <v>40</v>
      </c>
      <c r="I108" s="1">
        <v>240</v>
      </c>
      <c r="J108" s="1">
        <v>400</v>
      </c>
      <c r="K108" s="5">
        <f t="shared" si="2"/>
        <v>0.6</v>
      </c>
      <c r="L108" s="6">
        <f t="shared" si="3"/>
        <v>-0.4</v>
      </c>
    </row>
    <row r="109" spans="1:12">
      <c r="A109" s="7" t="s">
        <v>125</v>
      </c>
      <c r="B109" s="7" t="str">
        <f>TEXT(Table2[[#This Row],[Date]],"mmmm")</f>
        <v>April</v>
      </c>
      <c r="C109" s="1" t="s">
        <v>12</v>
      </c>
      <c r="D109" s="1" t="s">
        <v>9</v>
      </c>
      <c r="E109" s="1" t="s">
        <v>10</v>
      </c>
      <c r="F109" s="1" t="s">
        <v>15</v>
      </c>
      <c r="G109" s="1">
        <v>13</v>
      </c>
      <c r="H109" s="1">
        <v>50</v>
      </c>
      <c r="I109" s="1">
        <v>650</v>
      </c>
      <c r="J109" s="1">
        <v>400</v>
      </c>
      <c r="K109" s="5">
        <f t="shared" si="2"/>
        <v>1.625</v>
      </c>
      <c r="L109" s="6">
        <f t="shared" si="3"/>
        <v>0.625</v>
      </c>
    </row>
    <row r="110" spans="1:12">
      <c r="A110" s="7" t="s">
        <v>124</v>
      </c>
      <c r="B110" s="7" t="str">
        <f>TEXT(Table2[[#This Row],[Date]],"mmmm")</f>
        <v>April</v>
      </c>
      <c r="C110" s="1" t="s">
        <v>19</v>
      </c>
      <c r="D110" s="1" t="s">
        <v>13</v>
      </c>
      <c r="E110" s="1" t="s">
        <v>10</v>
      </c>
      <c r="F110" s="1" t="s">
        <v>22</v>
      </c>
      <c r="G110" s="1">
        <v>11</v>
      </c>
      <c r="H110" s="1">
        <v>25</v>
      </c>
      <c r="I110" s="1">
        <v>275</v>
      </c>
      <c r="J110" s="1">
        <v>400</v>
      </c>
      <c r="K110" s="5">
        <f t="shared" si="2"/>
        <v>0.6875</v>
      </c>
      <c r="L110" s="6">
        <f t="shared" si="3"/>
        <v>-0.3125</v>
      </c>
    </row>
    <row r="111" spans="1:12">
      <c r="A111" s="7" t="s">
        <v>123</v>
      </c>
      <c r="B111" s="7" t="str">
        <f>TEXT(Table2[[#This Row],[Date]],"mmmm")</f>
        <v>April</v>
      </c>
      <c r="C111" s="1" t="s">
        <v>8</v>
      </c>
      <c r="D111" s="1" t="s">
        <v>20</v>
      </c>
      <c r="E111" s="1" t="s">
        <v>17</v>
      </c>
      <c r="F111" s="1" t="s">
        <v>22</v>
      </c>
      <c r="G111" s="1">
        <v>5</v>
      </c>
      <c r="H111" s="1">
        <v>60</v>
      </c>
      <c r="I111" s="1">
        <v>300</v>
      </c>
      <c r="J111" s="1">
        <v>400</v>
      </c>
      <c r="K111" s="5">
        <f t="shared" si="2"/>
        <v>0.75</v>
      </c>
      <c r="L111" s="6">
        <f t="shared" si="3"/>
        <v>-0.25</v>
      </c>
    </row>
    <row r="112" spans="1:12">
      <c r="A112" s="7" t="s">
        <v>122</v>
      </c>
      <c r="B112" s="7" t="str">
        <f>TEXT(Table2[[#This Row],[Date]],"mmmm")</f>
        <v>April</v>
      </c>
      <c r="C112" s="1" t="s">
        <v>19</v>
      </c>
      <c r="D112" s="1" t="s">
        <v>20</v>
      </c>
      <c r="E112" s="1" t="s">
        <v>23</v>
      </c>
      <c r="F112" s="1" t="s">
        <v>18</v>
      </c>
      <c r="G112" s="1">
        <v>11</v>
      </c>
      <c r="H112" s="1">
        <v>60</v>
      </c>
      <c r="I112" s="1">
        <v>660</v>
      </c>
      <c r="J112" s="1">
        <v>400</v>
      </c>
      <c r="K112" s="5">
        <f t="shared" si="2"/>
        <v>1.65</v>
      </c>
      <c r="L112" s="6">
        <f t="shared" si="3"/>
        <v>0.65</v>
      </c>
    </row>
    <row r="113" spans="1:12">
      <c r="A113" s="7" t="s">
        <v>121</v>
      </c>
      <c r="B113" s="7" t="str">
        <f>TEXT(Table2[[#This Row],[Date]],"mmmm")</f>
        <v>April</v>
      </c>
      <c r="C113" s="1" t="s">
        <v>16</v>
      </c>
      <c r="D113" s="1" t="s">
        <v>13</v>
      </c>
      <c r="E113" s="1" t="s">
        <v>27</v>
      </c>
      <c r="F113" s="1" t="s">
        <v>22</v>
      </c>
      <c r="G113" s="1">
        <v>7</v>
      </c>
      <c r="H113" s="1">
        <v>50</v>
      </c>
      <c r="I113" s="1">
        <v>350</v>
      </c>
      <c r="J113" s="1">
        <v>400</v>
      </c>
      <c r="K113" s="5">
        <f t="shared" si="2"/>
        <v>0.875</v>
      </c>
      <c r="L113" s="6">
        <f t="shared" si="3"/>
        <v>-0.125</v>
      </c>
    </row>
    <row r="114" spans="1:12">
      <c r="A114" s="7" t="s">
        <v>120</v>
      </c>
      <c r="B114" s="7" t="str">
        <f>TEXT(Table2[[#This Row],[Date]],"mmmm")</f>
        <v>April</v>
      </c>
      <c r="C114" s="1" t="s">
        <v>19</v>
      </c>
      <c r="D114" s="1" t="s">
        <v>20</v>
      </c>
      <c r="E114" s="1" t="s">
        <v>10</v>
      </c>
      <c r="F114" s="1" t="s">
        <v>22</v>
      </c>
      <c r="G114" s="1">
        <v>11</v>
      </c>
      <c r="H114" s="1">
        <v>50</v>
      </c>
      <c r="I114" s="1">
        <v>550</v>
      </c>
      <c r="J114" s="1">
        <v>400</v>
      </c>
      <c r="K114" s="5">
        <f t="shared" si="2"/>
        <v>1.375</v>
      </c>
      <c r="L114" s="6">
        <f t="shared" si="3"/>
        <v>0.375</v>
      </c>
    </row>
    <row r="115" spans="1:12">
      <c r="A115" s="7" t="s">
        <v>119</v>
      </c>
      <c r="B115" s="7" t="str">
        <f>TEXT(Table2[[#This Row],[Date]],"mmmm")</f>
        <v>April</v>
      </c>
      <c r="C115" s="1" t="s">
        <v>19</v>
      </c>
      <c r="D115" s="1" t="s">
        <v>9</v>
      </c>
      <c r="E115" s="1" t="s">
        <v>17</v>
      </c>
      <c r="F115" s="1" t="s">
        <v>15</v>
      </c>
      <c r="G115" s="1">
        <v>8</v>
      </c>
      <c r="H115" s="1">
        <v>20</v>
      </c>
      <c r="I115" s="1">
        <v>160</v>
      </c>
      <c r="J115" s="1">
        <v>400</v>
      </c>
      <c r="K115" s="5">
        <f t="shared" si="2"/>
        <v>0.4</v>
      </c>
      <c r="L115" s="6">
        <f t="shared" si="3"/>
        <v>-0.6</v>
      </c>
    </row>
    <row r="116" spans="1:12">
      <c r="A116" s="7" t="s">
        <v>118</v>
      </c>
      <c r="B116" s="7" t="str">
        <f>TEXT(Table2[[#This Row],[Date]],"mmmm")</f>
        <v>April</v>
      </c>
      <c r="C116" s="1" t="s">
        <v>16</v>
      </c>
      <c r="D116" s="1" t="s">
        <v>9</v>
      </c>
      <c r="E116" s="1" t="s">
        <v>17</v>
      </c>
      <c r="F116" s="1" t="s">
        <v>22</v>
      </c>
      <c r="G116" s="1">
        <v>11</v>
      </c>
      <c r="H116" s="1">
        <v>25</v>
      </c>
      <c r="I116" s="1">
        <v>275</v>
      </c>
      <c r="J116" s="1">
        <v>400</v>
      </c>
      <c r="K116" s="5">
        <f t="shared" si="2"/>
        <v>0.6875</v>
      </c>
      <c r="L116" s="6">
        <f t="shared" si="3"/>
        <v>-0.3125</v>
      </c>
    </row>
    <row r="117" spans="1:12">
      <c r="A117" s="7" t="s">
        <v>117</v>
      </c>
      <c r="B117" s="7" t="str">
        <f>TEXT(Table2[[#This Row],[Date]],"mmmm")</f>
        <v>April</v>
      </c>
      <c r="C117" s="1" t="s">
        <v>12</v>
      </c>
      <c r="D117" s="1" t="s">
        <v>13</v>
      </c>
      <c r="E117" s="1" t="s">
        <v>27</v>
      </c>
      <c r="F117" s="1" t="s">
        <v>22</v>
      </c>
      <c r="G117" s="1">
        <v>5</v>
      </c>
      <c r="H117" s="1">
        <v>20</v>
      </c>
      <c r="I117" s="1">
        <v>100</v>
      </c>
      <c r="J117" s="1">
        <v>400</v>
      </c>
      <c r="K117" s="5">
        <f t="shared" si="2"/>
        <v>0.25</v>
      </c>
      <c r="L117" s="6">
        <f t="shared" si="3"/>
        <v>-0.75</v>
      </c>
    </row>
    <row r="118" spans="1:12">
      <c r="A118" s="7" t="s">
        <v>116</v>
      </c>
      <c r="B118" s="7" t="str">
        <f>TEXT(Table2[[#This Row],[Date]],"mmmm")</f>
        <v>April</v>
      </c>
      <c r="C118" s="1" t="s">
        <v>19</v>
      </c>
      <c r="D118" s="1" t="s">
        <v>9</v>
      </c>
      <c r="E118" s="1" t="s">
        <v>10</v>
      </c>
      <c r="F118" s="1" t="s">
        <v>15</v>
      </c>
      <c r="G118" s="1">
        <v>14</v>
      </c>
      <c r="H118" s="1">
        <v>60</v>
      </c>
      <c r="I118" s="1">
        <v>840</v>
      </c>
      <c r="J118" s="1">
        <v>400</v>
      </c>
      <c r="K118" s="5">
        <f t="shared" si="2"/>
        <v>2.1</v>
      </c>
      <c r="L118" s="6">
        <f t="shared" si="3"/>
        <v>1.1000000000000001</v>
      </c>
    </row>
    <row r="119" spans="1:12">
      <c r="A119" s="7" t="s">
        <v>115</v>
      </c>
      <c r="B119" s="7" t="str">
        <f>TEXT(Table2[[#This Row],[Date]],"mmmm")</f>
        <v>April</v>
      </c>
      <c r="C119" s="1" t="s">
        <v>8</v>
      </c>
      <c r="D119" s="1" t="s">
        <v>13</v>
      </c>
      <c r="E119" s="1" t="s">
        <v>21</v>
      </c>
      <c r="F119" s="1" t="s">
        <v>18</v>
      </c>
      <c r="G119" s="1">
        <v>12</v>
      </c>
      <c r="H119" s="1">
        <v>30</v>
      </c>
      <c r="I119" s="1">
        <v>360</v>
      </c>
      <c r="J119" s="1">
        <v>400</v>
      </c>
      <c r="K119" s="5">
        <f t="shared" si="2"/>
        <v>0.9</v>
      </c>
      <c r="L119" s="6">
        <f t="shared" si="3"/>
        <v>-0.1</v>
      </c>
    </row>
    <row r="120" spans="1:12">
      <c r="A120" s="7" t="s">
        <v>114</v>
      </c>
      <c r="B120" s="7" t="str">
        <f>TEXT(Table2[[#This Row],[Date]],"mmmm")</f>
        <v>April</v>
      </c>
      <c r="C120" s="1" t="s">
        <v>12</v>
      </c>
      <c r="D120" s="1" t="s">
        <v>9</v>
      </c>
      <c r="E120" s="1" t="s">
        <v>17</v>
      </c>
      <c r="F120" s="1" t="s">
        <v>18</v>
      </c>
      <c r="G120" s="1">
        <v>10</v>
      </c>
      <c r="H120" s="1">
        <v>20</v>
      </c>
      <c r="I120" s="1">
        <v>200</v>
      </c>
      <c r="J120" s="1">
        <v>400</v>
      </c>
      <c r="K120" s="5">
        <f t="shared" si="2"/>
        <v>0.5</v>
      </c>
      <c r="L120" s="6">
        <f t="shared" si="3"/>
        <v>-0.5</v>
      </c>
    </row>
    <row r="121" spans="1:12">
      <c r="A121" s="7" t="s">
        <v>113</v>
      </c>
      <c r="B121" s="7" t="str">
        <f>TEXT(Table2[[#This Row],[Date]],"mmmm")</f>
        <v>April</v>
      </c>
      <c r="C121" s="1" t="s">
        <v>8</v>
      </c>
      <c r="D121" s="1" t="s">
        <v>13</v>
      </c>
      <c r="E121" s="1" t="s">
        <v>23</v>
      </c>
      <c r="F121" s="1" t="s">
        <v>15</v>
      </c>
      <c r="G121" s="1">
        <v>10</v>
      </c>
      <c r="H121" s="1">
        <v>50</v>
      </c>
      <c r="I121" s="1">
        <v>500</v>
      </c>
      <c r="J121" s="1">
        <v>400</v>
      </c>
      <c r="K121" s="5">
        <f t="shared" si="2"/>
        <v>1.25</v>
      </c>
      <c r="L121" s="6">
        <f t="shared" si="3"/>
        <v>0.25</v>
      </c>
    </row>
    <row r="122" spans="1:12">
      <c r="A122" s="7" t="s">
        <v>112</v>
      </c>
      <c r="B122" s="7" t="str">
        <f>TEXT(Table2[[#This Row],[Date]],"mmmm")</f>
        <v>April</v>
      </c>
      <c r="C122" s="1" t="s">
        <v>19</v>
      </c>
      <c r="D122" s="1" t="s">
        <v>20</v>
      </c>
      <c r="E122" s="1" t="s">
        <v>17</v>
      </c>
      <c r="F122" s="1" t="s">
        <v>22</v>
      </c>
      <c r="G122" s="1">
        <v>7</v>
      </c>
      <c r="H122" s="1">
        <v>60</v>
      </c>
      <c r="I122" s="1">
        <v>420</v>
      </c>
      <c r="J122" s="1">
        <v>400</v>
      </c>
      <c r="K122" s="5">
        <f t="shared" si="2"/>
        <v>1.05</v>
      </c>
      <c r="L122" s="6">
        <f t="shared" si="3"/>
        <v>0.05</v>
      </c>
    </row>
    <row r="123" spans="1:12">
      <c r="A123" s="7" t="s">
        <v>111</v>
      </c>
      <c r="B123" s="7" t="str">
        <f>TEXT(Table2[[#This Row],[Date]],"mmmm")</f>
        <v>May</v>
      </c>
      <c r="C123" s="1" t="s">
        <v>19</v>
      </c>
      <c r="D123" s="1" t="s">
        <v>13</v>
      </c>
      <c r="E123" s="1" t="s">
        <v>14</v>
      </c>
      <c r="F123" s="1" t="s">
        <v>18</v>
      </c>
      <c r="G123" s="1">
        <v>12</v>
      </c>
      <c r="H123" s="1">
        <v>25</v>
      </c>
      <c r="I123" s="1">
        <v>300</v>
      </c>
      <c r="J123" s="1">
        <v>400</v>
      </c>
      <c r="K123" s="5">
        <f t="shared" si="2"/>
        <v>0.75</v>
      </c>
      <c r="L123" s="6">
        <f t="shared" si="3"/>
        <v>-0.25</v>
      </c>
    </row>
    <row r="124" spans="1:12">
      <c r="A124" s="7" t="s">
        <v>110</v>
      </c>
      <c r="B124" s="7" t="str">
        <f>TEXT(Table2[[#This Row],[Date]],"mmmm")</f>
        <v>May</v>
      </c>
      <c r="C124" s="1" t="s">
        <v>19</v>
      </c>
      <c r="D124" s="1" t="s">
        <v>9</v>
      </c>
      <c r="E124" s="1" t="s">
        <v>14</v>
      </c>
      <c r="F124" s="1" t="s">
        <v>18</v>
      </c>
      <c r="G124" s="1">
        <v>11</v>
      </c>
      <c r="H124" s="1">
        <v>50</v>
      </c>
      <c r="I124" s="1">
        <v>550</v>
      </c>
      <c r="J124" s="1">
        <v>400</v>
      </c>
      <c r="K124" s="5">
        <f t="shared" si="2"/>
        <v>1.375</v>
      </c>
      <c r="L124" s="6">
        <f t="shared" si="3"/>
        <v>0.375</v>
      </c>
    </row>
    <row r="125" spans="1:12">
      <c r="A125" s="7" t="s">
        <v>109</v>
      </c>
      <c r="B125" s="7" t="str">
        <f>TEXT(Table2[[#This Row],[Date]],"mmmm")</f>
        <v>May</v>
      </c>
      <c r="C125" s="1" t="s">
        <v>8</v>
      </c>
      <c r="D125" s="1" t="s">
        <v>13</v>
      </c>
      <c r="E125" s="1" t="s">
        <v>21</v>
      </c>
      <c r="F125" s="1" t="s">
        <v>15</v>
      </c>
      <c r="G125" s="1">
        <v>6</v>
      </c>
      <c r="H125" s="1">
        <v>20</v>
      </c>
      <c r="I125" s="1">
        <v>120</v>
      </c>
      <c r="J125" s="1">
        <v>400</v>
      </c>
      <c r="K125" s="5">
        <f t="shared" si="2"/>
        <v>0.3</v>
      </c>
      <c r="L125" s="6">
        <f t="shared" si="3"/>
        <v>-0.7</v>
      </c>
    </row>
    <row r="126" spans="1:12">
      <c r="A126" s="7" t="s">
        <v>108</v>
      </c>
      <c r="B126" s="7" t="str">
        <f>TEXT(Table2[[#This Row],[Date]],"mmmm")</f>
        <v>May</v>
      </c>
      <c r="C126" s="1" t="s">
        <v>16</v>
      </c>
      <c r="D126" s="1" t="s">
        <v>20</v>
      </c>
      <c r="E126" s="1" t="s">
        <v>14</v>
      </c>
      <c r="F126" s="1" t="s">
        <v>22</v>
      </c>
      <c r="G126" s="1">
        <v>6</v>
      </c>
      <c r="H126" s="1">
        <v>25</v>
      </c>
      <c r="I126" s="1">
        <v>150</v>
      </c>
      <c r="J126" s="1">
        <v>400</v>
      </c>
      <c r="K126" s="5">
        <f t="shared" si="2"/>
        <v>0.375</v>
      </c>
      <c r="L126" s="6">
        <f t="shared" si="3"/>
        <v>-0.625</v>
      </c>
    </row>
    <row r="127" spans="1:12">
      <c r="A127" s="7" t="s">
        <v>107</v>
      </c>
      <c r="B127" s="7" t="str">
        <f>TEXT(Table2[[#This Row],[Date]],"mmmm")</f>
        <v>May</v>
      </c>
      <c r="C127" s="1" t="s">
        <v>8</v>
      </c>
      <c r="D127" s="1" t="s">
        <v>20</v>
      </c>
      <c r="E127" s="1" t="s">
        <v>27</v>
      </c>
      <c r="F127" s="1" t="s">
        <v>15</v>
      </c>
      <c r="G127" s="1">
        <v>11</v>
      </c>
      <c r="H127" s="1">
        <v>50</v>
      </c>
      <c r="I127" s="1">
        <v>550</v>
      </c>
      <c r="J127" s="1">
        <v>400</v>
      </c>
      <c r="K127" s="5">
        <f t="shared" si="2"/>
        <v>1.375</v>
      </c>
      <c r="L127" s="6">
        <f t="shared" si="3"/>
        <v>0.375</v>
      </c>
    </row>
    <row r="128" spans="1:12">
      <c r="A128" s="7" t="s">
        <v>106</v>
      </c>
      <c r="B128" s="7" t="str">
        <f>TEXT(Table2[[#This Row],[Date]],"mmmm")</f>
        <v>May</v>
      </c>
      <c r="C128" s="1" t="s">
        <v>12</v>
      </c>
      <c r="D128" s="1" t="s">
        <v>9</v>
      </c>
      <c r="E128" s="1" t="s">
        <v>23</v>
      </c>
      <c r="F128" s="1" t="s">
        <v>22</v>
      </c>
      <c r="G128" s="1">
        <v>9</v>
      </c>
      <c r="H128" s="1">
        <v>25</v>
      </c>
      <c r="I128" s="1">
        <v>225</v>
      </c>
      <c r="J128" s="1">
        <v>400</v>
      </c>
      <c r="K128" s="5">
        <f t="shared" si="2"/>
        <v>0.5625</v>
      </c>
      <c r="L128" s="6">
        <f t="shared" si="3"/>
        <v>-0.4375</v>
      </c>
    </row>
    <row r="129" spans="1:12">
      <c r="A129" s="7" t="s">
        <v>105</v>
      </c>
      <c r="B129" s="7" t="str">
        <f>TEXT(Table2[[#This Row],[Date]],"mmmm")</f>
        <v>May</v>
      </c>
      <c r="C129" s="1" t="s">
        <v>12</v>
      </c>
      <c r="D129" s="1" t="s">
        <v>20</v>
      </c>
      <c r="E129" s="1" t="s">
        <v>14</v>
      </c>
      <c r="F129" s="1" t="s">
        <v>15</v>
      </c>
      <c r="G129" s="1">
        <v>11</v>
      </c>
      <c r="H129" s="1">
        <v>40</v>
      </c>
      <c r="I129" s="1">
        <v>440</v>
      </c>
      <c r="J129" s="1">
        <v>400</v>
      </c>
      <c r="K129" s="5">
        <f t="shared" si="2"/>
        <v>1.1000000000000001</v>
      </c>
      <c r="L129" s="6">
        <f t="shared" si="3"/>
        <v>0.1</v>
      </c>
    </row>
    <row r="130" spans="1:12">
      <c r="A130" s="7" t="s">
        <v>104</v>
      </c>
      <c r="B130" s="7" t="str">
        <f>TEXT(Table2[[#This Row],[Date]],"mmmm")</f>
        <v>May</v>
      </c>
      <c r="C130" s="1" t="s">
        <v>19</v>
      </c>
      <c r="D130" s="1" t="s">
        <v>9</v>
      </c>
      <c r="E130" s="1" t="s">
        <v>17</v>
      </c>
      <c r="F130" s="1" t="s">
        <v>11</v>
      </c>
      <c r="G130" s="1">
        <v>14</v>
      </c>
      <c r="H130" s="1">
        <v>50</v>
      </c>
      <c r="I130" s="1">
        <v>700</v>
      </c>
      <c r="J130" s="1">
        <v>400</v>
      </c>
      <c r="K130" s="5">
        <f t="shared" ref="K130:K193" si="4">(I130/J130)</f>
        <v>1.75</v>
      </c>
      <c r="L130" s="6">
        <f t="shared" ref="L130:L193" si="5">(I130-J130)/J130</f>
        <v>0.75</v>
      </c>
    </row>
    <row r="131" spans="1:12">
      <c r="A131" s="7" t="s">
        <v>103</v>
      </c>
      <c r="B131" s="7" t="str">
        <f>TEXT(Table2[[#This Row],[Date]],"mmmm")</f>
        <v>May</v>
      </c>
      <c r="C131" s="1" t="s">
        <v>8</v>
      </c>
      <c r="D131" s="1" t="s">
        <v>9</v>
      </c>
      <c r="E131" s="1" t="s">
        <v>10</v>
      </c>
      <c r="F131" s="1" t="s">
        <v>18</v>
      </c>
      <c r="G131" s="1">
        <v>12</v>
      </c>
      <c r="H131" s="1">
        <v>25</v>
      </c>
      <c r="I131" s="1">
        <v>300</v>
      </c>
      <c r="J131" s="1">
        <v>400</v>
      </c>
      <c r="K131" s="5">
        <f t="shared" si="4"/>
        <v>0.75</v>
      </c>
      <c r="L131" s="6">
        <f t="shared" si="5"/>
        <v>-0.25</v>
      </c>
    </row>
    <row r="132" spans="1:12">
      <c r="A132" s="7" t="s">
        <v>102</v>
      </c>
      <c r="B132" s="7" t="str">
        <f>TEXT(Table2[[#This Row],[Date]],"mmmm")</f>
        <v>May</v>
      </c>
      <c r="C132" s="1" t="s">
        <v>16</v>
      </c>
      <c r="D132" s="1" t="s">
        <v>9</v>
      </c>
      <c r="E132" s="1" t="s">
        <v>27</v>
      </c>
      <c r="F132" s="1" t="s">
        <v>11</v>
      </c>
      <c r="G132" s="1">
        <v>11</v>
      </c>
      <c r="H132" s="1">
        <v>60</v>
      </c>
      <c r="I132" s="1">
        <v>660</v>
      </c>
      <c r="J132" s="1">
        <v>400</v>
      </c>
      <c r="K132" s="5">
        <f t="shared" si="4"/>
        <v>1.65</v>
      </c>
      <c r="L132" s="6">
        <f t="shared" si="5"/>
        <v>0.65</v>
      </c>
    </row>
    <row r="133" spans="1:12">
      <c r="A133" s="7" t="s">
        <v>101</v>
      </c>
      <c r="B133" s="7" t="str">
        <f>TEXT(Table2[[#This Row],[Date]],"mmmm")</f>
        <v>May</v>
      </c>
      <c r="C133" s="1" t="s">
        <v>12</v>
      </c>
      <c r="D133" s="1" t="s">
        <v>9</v>
      </c>
      <c r="E133" s="1" t="s">
        <v>23</v>
      </c>
      <c r="F133" s="1" t="s">
        <v>11</v>
      </c>
      <c r="G133" s="1">
        <v>7</v>
      </c>
      <c r="H133" s="1">
        <v>50</v>
      </c>
      <c r="I133" s="1">
        <v>350</v>
      </c>
      <c r="J133" s="1">
        <v>400</v>
      </c>
      <c r="K133" s="5">
        <f t="shared" si="4"/>
        <v>0.875</v>
      </c>
      <c r="L133" s="6">
        <f t="shared" si="5"/>
        <v>-0.125</v>
      </c>
    </row>
    <row r="134" spans="1:12">
      <c r="A134" s="7" t="s">
        <v>100</v>
      </c>
      <c r="B134" s="7" t="str">
        <f>TEXT(Table2[[#This Row],[Date]],"mmmm")</f>
        <v>May</v>
      </c>
      <c r="C134" s="1" t="s">
        <v>12</v>
      </c>
      <c r="D134" s="1" t="s">
        <v>13</v>
      </c>
      <c r="E134" s="1" t="s">
        <v>17</v>
      </c>
      <c r="F134" s="1" t="s">
        <v>22</v>
      </c>
      <c r="G134" s="1">
        <v>14</v>
      </c>
      <c r="H134" s="1">
        <v>40</v>
      </c>
      <c r="I134" s="1">
        <v>560</v>
      </c>
      <c r="J134" s="1">
        <v>400</v>
      </c>
      <c r="K134" s="5">
        <f t="shared" si="4"/>
        <v>1.4</v>
      </c>
      <c r="L134" s="6">
        <f t="shared" si="5"/>
        <v>0.4</v>
      </c>
    </row>
    <row r="135" spans="1:12">
      <c r="A135" s="7" t="s">
        <v>99</v>
      </c>
      <c r="B135" s="7" t="str">
        <f>TEXT(Table2[[#This Row],[Date]],"mmmm")</f>
        <v>May</v>
      </c>
      <c r="C135" s="1" t="s">
        <v>16</v>
      </c>
      <c r="D135" s="1" t="s">
        <v>20</v>
      </c>
      <c r="E135" s="1" t="s">
        <v>23</v>
      </c>
      <c r="F135" s="1" t="s">
        <v>11</v>
      </c>
      <c r="G135" s="1">
        <v>10</v>
      </c>
      <c r="H135" s="1">
        <v>30</v>
      </c>
      <c r="I135" s="1">
        <v>300</v>
      </c>
      <c r="J135" s="1">
        <v>400</v>
      </c>
      <c r="K135" s="5">
        <f t="shared" si="4"/>
        <v>0.75</v>
      </c>
      <c r="L135" s="6">
        <f t="shared" si="5"/>
        <v>-0.25</v>
      </c>
    </row>
    <row r="136" spans="1:12">
      <c r="A136" s="7" t="s">
        <v>98</v>
      </c>
      <c r="B136" s="7" t="str">
        <f>TEXT(Table2[[#This Row],[Date]],"mmmm")</f>
        <v>May</v>
      </c>
      <c r="C136" s="1" t="s">
        <v>12</v>
      </c>
      <c r="D136" s="1" t="s">
        <v>13</v>
      </c>
      <c r="E136" s="1" t="s">
        <v>14</v>
      </c>
      <c r="F136" s="1" t="s">
        <v>22</v>
      </c>
      <c r="G136" s="1">
        <v>13</v>
      </c>
      <c r="H136" s="1">
        <v>20</v>
      </c>
      <c r="I136" s="1">
        <v>260</v>
      </c>
      <c r="J136" s="1">
        <v>400</v>
      </c>
      <c r="K136" s="5">
        <f t="shared" si="4"/>
        <v>0.65</v>
      </c>
      <c r="L136" s="6">
        <f t="shared" si="5"/>
        <v>-0.35</v>
      </c>
    </row>
    <row r="137" spans="1:12">
      <c r="A137" s="7" t="s">
        <v>97</v>
      </c>
      <c r="B137" s="7" t="str">
        <f>TEXT(Table2[[#This Row],[Date]],"mmmm")</f>
        <v>May</v>
      </c>
      <c r="C137" s="1" t="s">
        <v>16</v>
      </c>
      <c r="D137" s="1" t="s">
        <v>13</v>
      </c>
      <c r="E137" s="1" t="s">
        <v>17</v>
      </c>
      <c r="F137" s="1" t="s">
        <v>22</v>
      </c>
      <c r="G137" s="1">
        <v>13</v>
      </c>
      <c r="H137" s="1">
        <v>60</v>
      </c>
      <c r="I137" s="1">
        <v>780</v>
      </c>
      <c r="J137" s="1">
        <v>400</v>
      </c>
      <c r="K137" s="5">
        <f t="shared" si="4"/>
        <v>1.95</v>
      </c>
      <c r="L137" s="6">
        <f t="shared" si="5"/>
        <v>0.95</v>
      </c>
    </row>
    <row r="138" spans="1:12">
      <c r="A138" s="7" t="s">
        <v>96</v>
      </c>
      <c r="B138" s="7" t="str">
        <f>TEXT(Table2[[#This Row],[Date]],"mmmm")</f>
        <v>May</v>
      </c>
      <c r="C138" s="1" t="s">
        <v>12</v>
      </c>
      <c r="D138" s="1" t="s">
        <v>20</v>
      </c>
      <c r="E138" s="1" t="s">
        <v>21</v>
      </c>
      <c r="F138" s="1" t="s">
        <v>18</v>
      </c>
      <c r="G138" s="1">
        <v>12</v>
      </c>
      <c r="H138" s="1">
        <v>30</v>
      </c>
      <c r="I138" s="1">
        <v>360</v>
      </c>
      <c r="J138" s="1">
        <v>400</v>
      </c>
      <c r="K138" s="5">
        <f t="shared" si="4"/>
        <v>0.9</v>
      </c>
      <c r="L138" s="6">
        <f t="shared" si="5"/>
        <v>-0.1</v>
      </c>
    </row>
    <row r="139" spans="1:12">
      <c r="A139" s="7" t="s">
        <v>95</v>
      </c>
      <c r="B139" s="7" t="str">
        <f>TEXT(Table2[[#This Row],[Date]],"mmmm")</f>
        <v>May</v>
      </c>
      <c r="C139" s="1" t="s">
        <v>12</v>
      </c>
      <c r="D139" s="1" t="s">
        <v>13</v>
      </c>
      <c r="E139" s="1" t="s">
        <v>27</v>
      </c>
      <c r="F139" s="1" t="s">
        <v>18</v>
      </c>
      <c r="G139" s="1">
        <v>7</v>
      </c>
      <c r="H139" s="1">
        <v>50</v>
      </c>
      <c r="I139" s="1">
        <v>350</v>
      </c>
      <c r="J139" s="1">
        <v>400</v>
      </c>
      <c r="K139" s="5">
        <f t="shared" si="4"/>
        <v>0.875</v>
      </c>
      <c r="L139" s="6">
        <f t="shared" si="5"/>
        <v>-0.125</v>
      </c>
    </row>
    <row r="140" spans="1:12">
      <c r="A140" s="7" t="s">
        <v>94</v>
      </c>
      <c r="B140" s="7" t="str">
        <f>TEXT(Table2[[#This Row],[Date]],"mmmm")</f>
        <v>May</v>
      </c>
      <c r="C140" s="1" t="s">
        <v>12</v>
      </c>
      <c r="D140" s="1" t="s">
        <v>13</v>
      </c>
      <c r="E140" s="1" t="s">
        <v>17</v>
      </c>
      <c r="F140" s="1" t="s">
        <v>22</v>
      </c>
      <c r="G140" s="1">
        <v>12</v>
      </c>
      <c r="H140" s="1">
        <v>20</v>
      </c>
      <c r="I140" s="1">
        <v>240</v>
      </c>
      <c r="J140" s="1">
        <v>400</v>
      </c>
      <c r="K140" s="5">
        <f t="shared" si="4"/>
        <v>0.6</v>
      </c>
      <c r="L140" s="6">
        <f t="shared" si="5"/>
        <v>-0.4</v>
      </c>
    </row>
    <row r="141" spans="1:12">
      <c r="A141" s="7" t="s">
        <v>93</v>
      </c>
      <c r="B141" s="7" t="str">
        <f>TEXT(Table2[[#This Row],[Date]],"mmmm")</f>
        <v>May</v>
      </c>
      <c r="C141" s="1" t="s">
        <v>8</v>
      </c>
      <c r="D141" s="1" t="s">
        <v>20</v>
      </c>
      <c r="E141" s="1" t="s">
        <v>14</v>
      </c>
      <c r="F141" s="1" t="s">
        <v>11</v>
      </c>
      <c r="G141" s="1">
        <v>15</v>
      </c>
      <c r="H141" s="1">
        <v>60</v>
      </c>
      <c r="I141" s="1">
        <v>900</v>
      </c>
      <c r="J141" s="1">
        <v>400</v>
      </c>
      <c r="K141" s="5">
        <f t="shared" si="4"/>
        <v>2.25</v>
      </c>
      <c r="L141" s="6">
        <f t="shared" si="5"/>
        <v>1.25</v>
      </c>
    </row>
    <row r="142" spans="1:12">
      <c r="A142" s="7" t="s">
        <v>92</v>
      </c>
      <c r="B142" s="7" t="str">
        <f>TEXT(Table2[[#This Row],[Date]],"mmmm")</f>
        <v>May</v>
      </c>
      <c r="C142" s="1" t="s">
        <v>19</v>
      </c>
      <c r="D142" s="1" t="s">
        <v>13</v>
      </c>
      <c r="E142" s="1" t="s">
        <v>17</v>
      </c>
      <c r="F142" s="1" t="s">
        <v>11</v>
      </c>
      <c r="G142" s="1">
        <v>8</v>
      </c>
      <c r="H142" s="1">
        <v>40</v>
      </c>
      <c r="I142" s="1">
        <v>320</v>
      </c>
      <c r="J142" s="1">
        <v>400</v>
      </c>
      <c r="K142" s="5">
        <f t="shared" si="4"/>
        <v>0.8</v>
      </c>
      <c r="L142" s="6">
        <f t="shared" si="5"/>
        <v>-0.2</v>
      </c>
    </row>
    <row r="143" spans="1:12">
      <c r="A143" s="7" t="s">
        <v>91</v>
      </c>
      <c r="B143" s="7" t="str">
        <f>TEXT(Table2[[#This Row],[Date]],"mmmm")</f>
        <v>May</v>
      </c>
      <c r="C143" s="1" t="s">
        <v>12</v>
      </c>
      <c r="D143" s="1" t="s">
        <v>20</v>
      </c>
      <c r="E143" s="1" t="s">
        <v>10</v>
      </c>
      <c r="F143" s="1" t="s">
        <v>11</v>
      </c>
      <c r="G143" s="1">
        <v>13</v>
      </c>
      <c r="H143" s="1">
        <v>50</v>
      </c>
      <c r="I143" s="1">
        <v>650</v>
      </c>
      <c r="J143" s="1">
        <v>400</v>
      </c>
      <c r="K143" s="5">
        <f t="shared" si="4"/>
        <v>1.625</v>
      </c>
      <c r="L143" s="6">
        <f t="shared" si="5"/>
        <v>0.625</v>
      </c>
    </row>
    <row r="144" spans="1:12">
      <c r="A144" s="7" t="s">
        <v>90</v>
      </c>
      <c r="B144" s="7" t="str">
        <f>TEXT(Table2[[#This Row],[Date]],"mmmm")</f>
        <v>May</v>
      </c>
      <c r="C144" s="1" t="s">
        <v>8</v>
      </c>
      <c r="D144" s="1" t="s">
        <v>13</v>
      </c>
      <c r="E144" s="1" t="s">
        <v>17</v>
      </c>
      <c r="F144" s="1" t="s">
        <v>18</v>
      </c>
      <c r="G144" s="1">
        <v>6</v>
      </c>
      <c r="H144" s="1">
        <v>40</v>
      </c>
      <c r="I144" s="1">
        <v>240</v>
      </c>
      <c r="J144" s="1">
        <v>400</v>
      </c>
      <c r="K144" s="5">
        <f t="shared" si="4"/>
        <v>0.6</v>
      </c>
      <c r="L144" s="6">
        <f t="shared" si="5"/>
        <v>-0.4</v>
      </c>
    </row>
    <row r="145" spans="1:12">
      <c r="A145" s="7" t="s">
        <v>89</v>
      </c>
      <c r="B145" s="7" t="str">
        <f>TEXT(Table2[[#This Row],[Date]],"mmmm")</f>
        <v>May</v>
      </c>
      <c r="C145" s="1" t="s">
        <v>16</v>
      </c>
      <c r="D145" s="1" t="s">
        <v>20</v>
      </c>
      <c r="E145" s="1" t="s">
        <v>17</v>
      </c>
      <c r="F145" s="1" t="s">
        <v>18</v>
      </c>
      <c r="G145" s="1">
        <v>9</v>
      </c>
      <c r="H145" s="1">
        <v>40</v>
      </c>
      <c r="I145" s="1">
        <v>360</v>
      </c>
      <c r="J145" s="1">
        <v>400</v>
      </c>
      <c r="K145" s="5">
        <f t="shared" si="4"/>
        <v>0.9</v>
      </c>
      <c r="L145" s="6">
        <f t="shared" si="5"/>
        <v>-0.1</v>
      </c>
    </row>
    <row r="146" spans="1:12">
      <c r="A146" s="7" t="s">
        <v>88</v>
      </c>
      <c r="B146" s="7" t="str">
        <f>TEXT(Table2[[#This Row],[Date]],"mmmm")</f>
        <v>May</v>
      </c>
      <c r="C146" s="1" t="s">
        <v>19</v>
      </c>
      <c r="D146" s="1" t="s">
        <v>13</v>
      </c>
      <c r="E146" s="1" t="s">
        <v>17</v>
      </c>
      <c r="F146" s="1" t="s">
        <v>18</v>
      </c>
      <c r="G146" s="1">
        <v>6</v>
      </c>
      <c r="H146" s="1">
        <v>60</v>
      </c>
      <c r="I146" s="1">
        <v>360</v>
      </c>
      <c r="J146" s="1">
        <v>400</v>
      </c>
      <c r="K146" s="5">
        <f t="shared" si="4"/>
        <v>0.9</v>
      </c>
      <c r="L146" s="6">
        <f t="shared" si="5"/>
        <v>-0.1</v>
      </c>
    </row>
    <row r="147" spans="1:12">
      <c r="A147" s="7" t="s">
        <v>87</v>
      </c>
      <c r="B147" s="7" t="str">
        <f>TEXT(Table2[[#This Row],[Date]],"mmmm")</f>
        <v>May</v>
      </c>
      <c r="C147" s="1" t="s">
        <v>12</v>
      </c>
      <c r="D147" s="1" t="s">
        <v>20</v>
      </c>
      <c r="E147" s="1" t="s">
        <v>10</v>
      </c>
      <c r="F147" s="1" t="s">
        <v>11</v>
      </c>
      <c r="G147" s="1">
        <v>15</v>
      </c>
      <c r="H147" s="1">
        <v>25</v>
      </c>
      <c r="I147" s="1">
        <v>375</v>
      </c>
      <c r="J147" s="1">
        <v>400</v>
      </c>
      <c r="K147" s="5">
        <f t="shared" si="4"/>
        <v>0.9375</v>
      </c>
      <c r="L147" s="6">
        <f t="shared" si="5"/>
        <v>-6.25E-2</v>
      </c>
    </row>
    <row r="148" spans="1:12">
      <c r="A148" s="7" t="s">
        <v>86</v>
      </c>
      <c r="B148" s="7" t="str">
        <f>TEXT(Table2[[#This Row],[Date]],"mmmm")</f>
        <v>May</v>
      </c>
      <c r="C148" s="1" t="s">
        <v>19</v>
      </c>
      <c r="D148" s="1" t="s">
        <v>9</v>
      </c>
      <c r="E148" s="1" t="s">
        <v>27</v>
      </c>
      <c r="F148" s="1" t="s">
        <v>18</v>
      </c>
      <c r="G148" s="1">
        <v>15</v>
      </c>
      <c r="H148" s="1">
        <v>30</v>
      </c>
      <c r="I148" s="1">
        <v>450</v>
      </c>
      <c r="J148" s="1">
        <v>400</v>
      </c>
      <c r="K148" s="5">
        <f t="shared" si="4"/>
        <v>1.125</v>
      </c>
      <c r="L148" s="6">
        <f t="shared" si="5"/>
        <v>0.125</v>
      </c>
    </row>
    <row r="149" spans="1:12">
      <c r="A149" s="7" t="s">
        <v>85</v>
      </c>
      <c r="B149" s="7" t="str">
        <f>TEXT(Table2[[#This Row],[Date]],"mmmm")</f>
        <v>May</v>
      </c>
      <c r="C149" s="1" t="s">
        <v>12</v>
      </c>
      <c r="D149" s="1" t="s">
        <v>13</v>
      </c>
      <c r="E149" s="1" t="s">
        <v>21</v>
      </c>
      <c r="F149" s="1" t="s">
        <v>11</v>
      </c>
      <c r="G149" s="1">
        <v>12</v>
      </c>
      <c r="H149" s="1">
        <v>30</v>
      </c>
      <c r="I149" s="1">
        <v>360</v>
      </c>
      <c r="J149" s="1">
        <v>400</v>
      </c>
      <c r="K149" s="5">
        <f t="shared" si="4"/>
        <v>0.9</v>
      </c>
      <c r="L149" s="6">
        <f t="shared" si="5"/>
        <v>-0.1</v>
      </c>
    </row>
    <row r="150" spans="1:12">
      <c r="A150" s="7" t="s">
        <v>84</v>
      </c>
      <c r="B150" s="7" t="str">
        <f>TEXT(Table2[[#This Row],[Date]],"mmmm")</f>
        <v>May</v>
      </c>
      <c r="C150" s="1" t="s">
        <v>19</v>
      </c>
      <c r="D150" s="1" t="s">
        <v>13</v>
      </c>
      <c r="E150" s="1" t="s">
        <v>21</v>
      </c>
      <c r="F150" s="1" t="s">
        <v>18</v>
      </c>
      <c r="G150" s="1">
        <v>7</v>
      </c>
      <c r="H150" s="1">
        <v>25</v>
      </c>
      <c r="I150" s="1">
        <v>175</v>
      </c>
      <c r="J150" s="1">
        <v>400</v>
      </c>
      <c r="K150" s="5">
        <f t="shared" si="4"/>
        <v>0.4375</v>
      </c>
      <c r="L150" s="6">
        <f t="shared" si="5"/>
        <v>-0.5625</v>
      </c>
    </row>
    <row r="151" spans="1:12">
      <c r="A151" s="7" t="s">
        <v>83</v>
      </c>
      <c r="B151" s="7" t="str">
        <f>TEXT(Table2[[#This Row],[Date]],"mmmm")</f>
        <v>May</v>
      </c>
      <c r="C151" s="1" t="s">
        <v>16</v>
      </c>
      <c r="D151" s="1" t="s">
        <v>9</v>
      </c>
      <c r="E151" s="1" t="s">
        <v>21</v>
      </c>
      <c r="F151" s="1" t="s">
        <v>15</v>
      </c>
      <c r="G151" s="1">
        <v>8</v>
      </c>
      <c r="H151" s="1">
        <v>25</v>
      </c>
      <c r="I151" s="1">
        <v>200</v>
      </c>
      <c r="J151" s="1">
        <v>400</v>
      </c>
      <c r="K151" s="5">
        <f t="shared" si="4"/>
        <v>0.5</v>
      </c>
      <c r="L151" s="6">
        <f t="shared" si="5"/>
        <v>-0.5</v>
      </c>
    </row>
    <row r="152" spans="1:12">
      <c r="A152" s="7" t="s">
        <v>82</v>
      </c>
      <c r="B152" s="7" t="str">
        <f>TEXT(Table2[[#This Row],[Date]],"mmmm")</f>
        <v>May</v>
      </c>
      <c r="C152" s="1" t="s">
        <v>8</v>
      </c>
      <c r="D152" s="1" t="s">
        <v>9</v>
      </c>
      <c r="E152" s="1" t="s">
        <v>10</v>
      </c>
      <c r="F152" s="1" t="s">
        <v>22</v>
      </c>
      <c r="G152" s="1">
        <v>13</v>
      </c>
      <c r="H152" s="1">
        <v>60</v>
      </c>
      <c r="I152" s="1">
        <v>780</v>
      </c>
      <c r="J152" s="1">
        <v>400</v>
      </c>
      <c r="K152" s="5">
        <f t="shared" si="4"/>
        <v>1.95</v>
      </c>
      <c r="L152" s="6">
        <f t="shared" si="5"/>
        <v>0.95</v>
      </c>
    </row>
    <row r="153" spans="1:12">
      <c r="A153" s="7" t="s">
        <v>81</v>
      </c>
      <c r="B153" s="7" t="str">
        <f>TEXT(Table2[[#This Row],[Date]],"mmmm")</f>
        <v>May</v>
      </c>
      <c r="C153" s="1" t="s">
        <v>12</v>
      </c>
      <c r="D153" s="1" t="s">
        <v>20</v>
      </c>
      <c r="E153" s="1" t="s">
        <v>14</v>
      </c>
      <c r="F153" s="1" t="s">
        <v>15</v>
      </c>
      <c r="G153" s="1">
        <v>14</v>
      </c>
      <c r="H153" s="1">
        <v>30</v>
      </c>
      <c r="I153" s="1">
        <v>420</v>
      </c>
      <c r="J153" s="1">
        <v>400</v>
      </c>
      <c r="K153" s="5">
        <f t="shared" si="4"/>
        <v>1.05</v>
      </c>
      <c r="L153" s="6">
        <f t="shared" si="5"/>
        <v>0.05</v>
      </c>
    </row>
    <row r="154" spans="1:12">
      <c r="A154" s="7" t="s">
        <v>80</v>
      </c>
      <c r="B154" s="7" t="str">
        <f>TEXT(Table2[[#This Row],[Date]],"mmmm")</f>
        <v>June</v>
      </c>
      <c r="C154" s="1" t="s">
        <v>19</v>
      </c>
      <c r="D154" s="1" t="s">
        <v>13</v>
      </c>
      <c r="E154" s="1" t="s">
        <v>23</v>
      </c>
      <c r="F154" s="1" t="s">
        <v>22</v>
      </c>
      <c r="G154" s="1">
        <v>9</v>
      </c>
      <c r="H154" s="1">
        <v>60</v>
      </c>
      <c r="I154" s="1">
        <v>540</v>
      </c>
      <c r="J154" s="1">
        <v>400</v>
      </c>
      <c r="K154" s="5">
        <f t="shared" si="4"/>
        <v>1.35</v>
      </c>
      <c r="L154" s="6">
        <f t="shared" si="5"/>
        <v>0.35</v>
      </c>
    </row>
    <row r="155" spans="1:12">
      <c r="A155" s="7" t="s">
        <v>79</v>
      </c>
      <c r="B155" s="7" t="str">
        <f>TEXT(Table2[[#This Row],[Date]],"mmmm")</f>
        <v>June</v>
      </c>
      <c r="C155" s="1" t="s">
        <v>12</v>
      </c>
      <c r="D155" s="1" t="s">
        <v>20</v>
      </c>
      <c r="E155" s="1" t="s">
        <v>17</v>
      </c>
      <c r="F155" s="1" t="s">
        <v>18</v>
      </c>
      <c r="G155" s="1">
        <v>15</v>
      </c>
      <c r="H155" s="1">
        <v>60</v>
      </c>
      <c r="I155" s="1">
        <v>900</v>
      </c>
      <c r="J155" s="1">
        <v>400</v>
      </c>
      <c r="K155" s="5">
        <f t="shared" si="4"/>
        <v>2.25</v>
      </c>
      <c r="L155" s="6">
        <f t="shared" si="5"/>
        <v>1.25</v>
      </c>
    </row>
    <row r="156" spans="1:12">
      <c r="A156" s="7" t="s">
        <v>78</v>
      </c>
      <c r="B156" s="7" t="str">
        <f>TEXT(Table2[[#This Row],[Date]],"mmmm")</f>
        <v>June</v>
      </c>
      <c r="C156" s="1" t="s">
        <v>8</v>
      </c>
      <c r="D156" s="1" t="s">
        <v>9</v>
      </c>
      <c r="E156" s="1" t="s">
        <v>10</v>
      </c>
      <c r="F156" s="1" t="s">
        <v>18</v>
      </c>
      <c r="G156" s="1">
        <v>10</v>
      </c>
      <c r="H156" s="1">
        <v>30</v>
      </c>
      <c r="I156" s="1">
        <v>300</v>
      </c>
      <c r="J156" s="1">
        <v>400</v>
      </c>
      <c r="K156" s="5">
        <f t="shared" si="4"/>
        <v>0.75</v>
      </c>
      <c r="L156" s="6">
        <f t="shared" si="5"/>
        <v>-0.25</v>
      </c>
    </row>
    <row r="157" spans="1:12">
      <c r="A157" s="7" t="s">
        <v>77</v>
      </c>
      <c r="B157" s="7" t="str">
        <f>TEXT(Table2[[#This Row],[Date]],"mmmm")</f>
        <v>June</v>
      </c>
      <c r="C157" s="1" t="s">
        <v>12</v>
      </c>
      <c r="D157" s="1" t="s">
        <v>9</v>
      </c>
      <c r="E157" s="1" t="s">
        <v>23</v>
      </c>
      <c r="F157" s="1" t="s">
        <v>11</v>
      </c>
      <c r="G157" s="1">
        <v>7</v>
      </c>
      <c r="H157" s="1">
        <v>40</v>
      </c>
      <c r="I157" s="1">
        <v>280</v>
      </c>
      <c r="J157" s="1">
        <v>400</v>
      </c>
      <c r="K157" s="5">
        <f t="shared" si="4"/>
        <v>0.7</v>
      </c>
      <c r="L157" s="6">
        <f t="shared" si="5"/>
        <v>-0.3</v>
      </c>
    </row>
    <row r="158" spans="1:12">
      <c r="A158" s="7" t="s">
        <v>76</v>
      </c>
      <c r="B158" s="7" t="str">
        <f>TEXT(Table2[[#This Row],[Date]],"mmmm")</f>
        <v>June</v>
      </c>
      <c r="C158" s="1" t="s">
        <v>19</v>
      </c>
      <c r="D158" s="1" t="s">
        <v>13</v>
      </c>
      <c r="E158" s="1" t="s">
        <v>17</v>
      </c>
      <c r="F158" s="1" t="s">
        <v>15</v>
      </c>
      <c r="G158" s="1">
        <v>7</v>
      </c>
      <c r="H158" s="1">
        <v>60</v>
      </c>
      <c r="I158" s="1">
        <v>420</v>
      </c>
      <c r="J158" s="1">
        <v>400</v>
      </c>
      <c r="K158" s="5">
        <f t="shared" si="4"/>
        <v>1.05</v>
      </c>
      <c r="L158" s="6">
        <f t="shared" si="5"/>
        <v>0.05</v>
      </c>
    </row>
    <row r="159" spans="1:12">
      <c r="A159" s="7" t="s">
        <v>75</v>
      </c>
      <c r="B159" s="7" t="str">
        <f>TEXT(Table2[[#This Row],[Date]],"mmmm")</f>
        <v>June</v>
      </c>
      <c r="C159" s="1" t="s">
        <v>19</v>
      </c>
      <c r="D159" s="1" t="s">
        <v>20</v>
      </c>
      <c r="E159" s="1" t="s">
        <v>21</v>
      </c>
      <c r="F159" s="1" t="s">
        <v>22</v>
      </c>
      <c r="G159" s="1">
        <v>6</v>
      </c>
      <c r="H159" s="1">
        <v>50</v>
      </c>
      <c r="I159" s="1">
        <v>300</v>
      </c>
      <c r="J159" s="1">
        <v>400</v>
      </c>
      <c r="K159" s="5">
        <f t="shared" si="4"/>
        <v>0.75</v>
      </c>
      <c r="L159" s="6">
        <f t="shared" si="5"/>
        <v>-0.25</v>
      </c>
    </row>
    <row r="160" spans="1:12">
      <c r="A160" s="7" t="s">
        <v>74</v>
      </c>
      <c r="B160" s="7" t="str">
        <f>TEXT(Table2[[#This Row],[Date]],"mmmm")</f>
        <v>June</v>
      </c>
      <c r="C160" s="1" t="s">
        <v>8</v>
      </c>
      <c r="D160" s="1" t="s">
        <v>13</v>
      </c>
      <c r="E160" s="1" t="s">
        <v>17</v>
      </c>
      <c r="F160" s="1" t="s">
        <v>15</v>
      </c>
      <c r="G160" s="1">
        <v>10</v>
      </c>
      <c r="H160" s="1">
        <v>20</v>
      </c>
      <c r="I160" s="1">
        <v>200</v>
      </c>
      <c r="J160" s="1">
        <v>400</v>
      </c>
      <c r="K160" s="5">
        <f t="shared" si="4"/>
        <v>0.5</v>
      </c>
      <c r="L160" s="6">
        <f t="shared" si="5"/>
        <v>-0.5</v>
      </c>
    </row>
    <row r="161" spans="1:12">
      <c r="A161" s="7" t="s">
        <v>73</v>
      </c>
      <c r="B161" s="7" t="str">
        <f>TEXT(Table2[[#This Row],[Date]],"mmmm")</f>
        <v>June</v>
      </c>
      <c r="C161" s="1" t="s">
        <v>16</v>
      </c>
      <c r="D161" s="1" t="s">
        <v>20</v>
      </c>
      <c r="E161" s="1" t="s">
        <v>17</v>
      </c>
      <c r="F161" s="1" t="s">
        <v>15</v>
      </c>
      <c r="G161" s="1">
        <v>9</v>
      </c>
      <c r="H161" s="1">
        <v>20</v>
      </c>
      <c r="I161" s="1">
        <v>180</v>
      </c>
      <c r="J161" s="1">
        <v>400</v>
      </c>
      <c r="K161" s="5">
        <f t="shared" si="4"/>
        <v>0.45</v>
      </c>
      <c r="L161" s="6">
        <f t="shared" si="5"/>
        <v>-0.55000000000000004</v>
      </c>
    </row>
    <row r="162" spans="1:12">
      <c r="A162" s="7" t="s">
        <v>72</v>
      </c>
      <c r="B162" s="7" t="str">
        <f>TEXT(Table2[[#This Row],[Date]],"mmmm")</f>
        <v>June</v>
      </c>
      <c r="C162" s="1" t="s">
        <v>12</v>
      </c>
      <c r="D162" s="1" t="s">
        <v>9</v>
      </c>
      <c r="E162" s="1" t="s">
        <v>14</v>
      </c>
      <c r="F162" s="1" t="s">
        <v>15</v>
      </c>
      <c r="G162" s="1">
        <v>10</v>
      </c>
      <c r="H162" s="1">
        <v>25</v>
      </c>
      <c r="I162" s="1">
        <v>250</v>
      </c>
      <c r="J162" s="1">
        <v>400</v>
      </c>
      <c r="K162" s="5">
        <f t="shared" si="4"/>
        <v>0.625</v>
      </c>
      <c r="L162" s="6">
        <f t="shared" si="5"/>
        <v>-0.375</v>
      </c>
    </row>
    <row r="163" spans="1:12">
      <c r="A163" s="7" t="s">
        <v>71</v>
      </c>
      <c r="B163" s="7" t="str">
        <f>TEXT(Table2[[#This Row],[Date]],"mmmm")</f>
        <v>June</v>
      </c>
      <c r="C163" s="1" t="s">
        <v>19</v>
      </c>
      <c r="D163" s="1" t="s">
        <v>20</v>
      </c>
      <c r="E163" s="1" t="s">
        <v>14</v>
      </c>
      <c r="F163" s="1" t="s">
        <v>22</v>
      </c>
      <c r="G163" s="1">
        <v>7</v>
      </c>
      <c r="H163" s="1">
        <v>50</v>
      </c>
      <c r="I163" s="1">
        <v>350</v>
      </c>
      <c r="J163" s="1">
        <v>400</v>
      </c>
      <c r="K163" s="5">
        <f t="shared" si="4"/>
        <v>0.875</v>
      </c>
      <c r="L163" s="6">
        <f t="shared" si="5"/>
        <v>-0.125</v>
      </c>
    </row>
    <row r="164" spans="1:12">
      <c r="A164" s="7" t="s">
        <v>70</v>
      </c>
      <c r="B164" s="7" t="str">
        <f>TEXT(Table2[[#This Row],[Date]],"mmmm")</f>
        <v>June</v>
      </c>
      <c r="C164" s="1" t="s">
        <v>16</v>
      </c>
      <c r="D164" s="1" t="s">
        <v>9</v>
      </c>
      <c r="E164" s="1" t="s">
        <v>17</v>
      </c>
      <c r="F164" s="1" t="s">
        <v>11</v>
      </c>
      <c r="G164" s="1">
        <v>15</v>
      </c>
      <c r="H164" s="1">
        <v>50</v>
      </c>
      <c r="I164" s="1">
        <v>750</v>
      </c>
      <c r="J164" s="1">
        <v>400</v>
      </c>
      <c r="K164" s="5">
        <f t="shared" si="4"/>
        <v>1.875</v>
      </c>
      <c r="L164" s="6">
        <f t="shared" si="5"/>
        <v>0.875</v>
      </c>
    </row>
    <row r="165" spans="1:12">
      <c r="A165" s="7" t="s">
        <v>69</v>
      </c>
      <c r="B165" s="7" t="str">
        <f>TEXT(Table2[[#This Row],[Date]],"mmmm")</f>
        <v>June</v>
      </c>
      <c r="C165" s="1" t="s">
        <v>8</v>
      </c>
      <c r="D165" s="1" t="s">
        <v>20</v>
      </c>
      <c r="E165" s="1" t="s">
        <v>23</v>
      </c>
      <c r="F165" s="1" t="s">
        <v>18</v>
      </c>
      <c r="G165" s="1">
        <v>11</v>
      </c>
      <c r="H165" s="1">
        <v>30</v>
      </c>
      <c r="I165" s="1">
        <v>330</v>
      </c>
      <c r="J165" s="1">
        <v>400</v>
      </c>
      <c r="K165" s="5">
        <f t="shared" si="4"/>
        <v>0.82499999999999996</v>
      </c>
      <c r="L165" s="6">
        <f t="shared" si="5"/>
        <v>-0.17499999999999999</v>
      </c>
    </row>
    <row r="166" spans="1:12">
      <c r="A166" s="7" t="s">
        <v>68</v>
      </c>
      <c r="B166" s="7" t="str">
        <f>TEXT(Table2[[#This Row],[Date]],"mmmm")</f>
        <v>June</v>
      </c>
      <c r="C166" s="1" t="s">
        <v>19</v>
      </c>
      <c r="D166" s="1" t="s">
        <v>20</v>
      </c>
      <c r="E166" s="1" t="s">
        <v>14</v>
      </c>
      <c r="F166" s="1" t="s">
        <v>18</v>
      </c>
      <c r="G166" s="1">
        <v>6</v>
      </c>
      <c r="H166" s="1">
        <v>60</v>
      </c>
      <c r="I166" s="1">
        <v>360</v>
      </c>
      <c r="J166" s="1">
        <v>400</v>
      </c>
      <c r="K166" s="5">
        <f t="shared" si="4"/>
        <v>0.9</v>
      </c>
      <c r="L166" s="6">
        <f t="shared" si="5"/>
        <v>-0.1</v>
      </c>
    </row>
    <row r="167" spans="1:12">
      <c r="A167" s="7" t="s">
        <v>67</v>
      </c>
      <c r="B167" s="7" t="str">
        <f>TEXT(Table2[[#This Row],[Date]],"mmmm")</f>
        <v>June</v>
      </c>
      <c r="C167" s="1" t="s">
        <v>19</v>
      </c>
      <c r="D167" s="1" t="s">
        <v>9</v>
      </c>
      <c r="E167" s="1" t="s">
        <v>17</v>
      </c>
      <c r="F167" s="1" t="s">
        <v>11</v>
      </c>
      <c r="G167" s="1">
        <v>5</v>
      </c>
      <c r="H167" s="1">
        <v>30</v>
      </c>
      <c r="I167" s="1">
        <v>150</v>
      </c>
      <c r="J167" s="1">
        <v>400</v>
      </c>
      <c r="K167" s="5">
        <f t="shared" si="4"/>
        <v>0.375</v>
      </c>
      <c r="L167" s="6">
        <f t="shared" si="5"/>
        <v>-0.625</v>
      </c>
    </row>
    <row r="168" spans="1:12">
      <c r="A168" s="7" t="s">
        <v>66</v>
      </c>
      <c r="B168" s="7" t="str">
        <f>TEXT(Table2[[#This Row],[Date]],"mmmm")</f>
        <v>June</v>
      </c>
      <c r="C168" s="1" t="s">
        <v>19</v>
      </c>
      <c r="D168" s="1" t="s">
        <v>13</v>
      </c>
      <c r="E168" s="1" t="s">
        <v>14</v>
      </c>
      <c r="F168" s="1" t="s">
        <v>22</v>
      </c>
      <c r="G168" s="1">
        <v>13</v>
      </c>
      <c r="H168" s="1">
        <v>60</v>
      </c>
      <c r="I168" s="1">
        <v>780</v>
      </c>
      <c r="J168" s="1">
        <v>400</v>
      </c>
      <c r="K168" s="5">
        <f t="shared" si="4"/>
        <v>1.95</v>
      </c>
      <c r="L168" s="6">
        <f t="shared" si="5"/>
        <v>0.95</v>
      </c>
    </row>
    <row r="169" spans="1:12">
      <c r="A169" s="7" t="s">
        <v>65</v>
      </c>
      <c r="B169" s="7" t="str">
        <f>TEXT(Table2[[#This Row],[Date]],"mmmm")</f>
        <v>June</v>
      </c>
      <c r="C169" s="1" t="s">
        <v>8</v>
      </c>
      <c r="D169" s="1" t="s">
        <v>20</v>
      </c>
      <c r="E169" s="1" t="s">
        <v>27</v>
      </c>
      <c r="F169" s="1" t="s">
        <v>18</v>
      </c>
      <c r="G169" s="1">
        <v>7</v>
      </c>
      <c r="H169" s="1">
        <v>30</v>
      </c>
      <c r="I169" s="1">
        <v>210</v>
      </c>
      <c r="J169" s="1">
        <v>400</v>
      </c>
      <c r="K169" s="5">
        <f t="shared" si="4"/>
        <v>0.52500000000000002</v>
      </c>
      <c r="L169" s="6">
        <f t="shared" si="5"/>
        <v>-0.47499999999999998</v>
      </c>
    </row>
    <row r="170" spans="1:12">
      <c r="A170" s="7" t="s">
        <v>64</v>
      </c>
      <c r="B170" s="7" t="str">
        <f>TEXT(Table2[[#This Row],[Date]],"mmmm")</f>
        <v>June</v>
      </c>
      <c r="C170" s="1" t="s">
        <v>19</v>
      </c>
      <c r="D170" s="1" t="s">
        <v>20</v>
      </c>
      <c r="E170" s="1" t="s">
        <v>23</v>
      </c>
      <c r="F170" s="1" t="s">
        <v>22</v>
      </c>
      <c r="G170" s="1">
        <v>14</v>
      </c>
      <c r="H170" s="1">
        <v>60</v>
      </c>
      <c r="I170" s="1">
        <v>840</v>
      </c>
      <c r="J170" s="1">
        <v>400</v>
      </c>
      <c r="K170" s="5">
        <f t="shared" si="4"/>
        <v>2.1</v>
      </c>
      <c r="L170" s="6">
        <f t="shared" si="5"/>
        <v>1.1000000000000001</v>
      </c>
    </row>
    <row r="171" spans="1:12">
      <c r="A171" s="7" t="s">
        <v>63</v>
      </c>
      <c r="B171" s="7" t="str">
        <f>TEXT(Table2[[#This Row],[Date]],"mmmm")</f>
        <v>June</v>
      </c>
      <c r="C171" s="1" t="s">
        <v>19</v>
      </c>
      <c r="D171" s="1" t="s">
        <v>13</v>
      </c>
      <c r="E171" s="1" t="s">
        <v>14</v>
      </c>
      <c r="F171" s="1" t="s">
        <v>15</v>
      </c>
      <c r="G171" s="1">
        <v>5</v>
      </c>
      <c r="H171" s="1">
        <v>60</v>
      </c>
      <c r="I171" s="1">
        <v>300</v>
      </c>
      <c r="J171" s="1">
        <v>400</v>
      </c>
      <c r="K171" s="5">
        <f t="shared" si="4"/>
        <v>0.75</v>
      </c>
      <c r="L171" s="6">
        <f t="shared" si="5"/>
        <v>-0.25</v>
      </c>
    </row>
    <row r="172" spans="1:12">
      <c r="A172" s="7" t="s">
        <v>62</v>
      </c>
      <c r="B172" s="7" t="str">
        <f>TEXT(Table2[[#This Row],[Date]],"mmmm")</f>
        <v>June</v>
      </c>
      <c r="C172" s="1" t="s">
        <v>16</v>
      </c>
      <c r="D172" s="1" t="s">
        <v>20</v>
      </c>
      <c r="E172" s="1" t="s">
        <v>27</v>
      </c>
      <c r="F172" s="1" t="s">
        <v>15</v>
      </c>
      <c r="G172" s="1">
        <v>14</v>
      </c>
      <c r="H172" s="1">
        <v>25</v>
      </c>
      <c r="I172" s="1">
        <v>350</v>
      </c>
      <c r="J172" s="1">
        <v>400</v>
      </c>
      <c r="K172" s="5">
        <f t="shared" si="4"/>
        <v>0.875</v>
      </c>
      <c r="L172" s="6">
        <f t="shared" si="5"/>
        <v>-0.125</v>
      </c>
    </row>
    <row r="173" spans="1:12">
      <c r="A173" s="7" t="s">
        <v>61</v>
      </c>
      <c r="B173" s="7" t="str">
        <f>TEXT(Table2[[#This Row],[Date]],"mmmm")</f>
        <v>June</v>
      </c>
      <c r="C173" s="1" t="s">
        <v>16</v>
      </c>
      <c r="D173" s="1" t="s">
        <v>13</v>
      </c>
      <c r="E173" s="1" t="s">
        <v>27</v>
      </c>
      <c r="F173" s="1" t="s">
        <v>15</v>
      </c>
      <c r="G173" s="1">
        <v>9</v>
      </c>
      <c r="H173" s="1">
        <v>60</v>
      </c>
      <c r="I173" s="1">
        <v>540</v>
      </c>
      <c r="J173" s="1">
        <v>400</v>
      </c>
      <c r="K173" s="5">
        <f t="shared" si="4"/>
        <v>1.35</v>
      </c>
      <c r="L173" s="6">
        <f t="shared" si="5"/>
        <v>0.35</v>
      </c>
    </row>
    <row r="174" spans="1:12">
      <c r="A174" s="7" t="s">
        <v>60</v>
      </c>
      <c r="B174" s="7" t="str">
        <f>TEXT(Table2[[#This Row],[Date]],"mmmm")</f>
        <v>June</v>
      </c>
      <c r="C174" s="1" t="s">
        <v>12</v>
      </c>
      <c r="D174" s="1" t="s">
        <v>9</v>
      </c>
      <c r="E174" s="1" t="s">
        <v>23</v>
      </c>
      <c r="F174" s="1" t="s">
        <v>18</v>
      </c>
      <c r="G174" s="1">
        <v>7</v>
      </c>
      <c r="H174" s="1">
        <v>40</v>
      </c>
      <c r="I174" s="1">
        <v>280</v>
      </c>
      <c r="J174" s="1">
        <v>400</v>
      </c>
      <c r="K174" s="5">
        <f t="shared" si="4"/>
        <v>0.7</v>
      </c>
      <c r="L174" s="6">
        <f t="shared" si="5"/>
        <v>-0.3</v>
      </c>
    </row>
    <row r="175" spans="1:12">
      <c r="A175" s="7" t="s">
        <v>59</v>
      </c>
      <c r="B175" s="7" t="str">
        <f>TEXT(Table2[[#This Row],[Date]],"mmmm")</f>
        <v>June</v>
      </c>
      <c r="C175" s="1" t="s">
        <v>8</v>
      </c>
      <c r="D175" s="1" t="s">
        <v>9</v>
      </c>
      <c r="E175" s="1" t="s">
        <v>21</v>
      </c>
      <c r="F175" s="1" t="s">
        <v>15</v>
      </c>
      <c r="G175" s="1">
        <v>7</v>
      </c>
      <c r="H175" s="1">
        <v>20</v>
      </c>
      <c r="I175" s="1">
        <v>140</v>
      </c>
      <c r="J175" s="1">
        <v>400</v>
      </c>
      <c r="K175" s="5">
        <f t="shared" si="4"/>
        <v>0.35</v>
      </c>
      <c r="L175" s="6">
        <f t="shared" si="5"/>
        <v>-0.65</v>
      </c>
    </row>
    <row r="176" spans="1:12">
      <c r="A176" s="7" t="s">
        <v>58</v>
      </c>
      <c r="B176" s="7" t="str">
        <f>TEXT(Table2[[#This Row],[Date]],"mmmm")</f>
        <v>June</v>
      </c>
      <c r="C176" s="1" t="s">
        <v>19</v>
      </c>
      <c r="D176" s="1" t="s">
        <v>13</v>
      </c>
      <c r="E176" s="1" t="s">
        <v>21</v>
      </c>
      <c r="F176" s="1" t="s">
        <v>18</v>
      </c>
      <c r="G176" s="1">
        <v>6</v>
      </c>
      <c r="H176" s="1">
        <v>40</v>
      </c>
      <c r="I176" s="1">
        <v>240</v>
      </c>
      <c r="J176" s="1">
        <v>400</v>
      </c>
      <c r="K176" s="5">
        <f t="shared" si="4"/>
        <v>0.6</v>
      </c>
      <c r="L176" s="6">
        <f t="shared" si="5"/>
        <v>-0.4</v>
      </c>
    </row>
    <row r="177" spans="1:12">
      <c r="A177" s="7" t="s">
        <v>57</v>
      </c>
      <c r="B177" s="7" t="str">
        <f>TEXT(Table2[[#This Row],[Date]],"mmmm")</f>
        <v>June</v>
      </c>
      <c r="C177" s="1" t="s">
        <v>16</v>
      </c>
      <c r="D177" s="1" t="s">
        <v>20</v>
      </c>
      <c r="E177" s="1" t="s">
        <v>23</v>
      </c>
      <c r="F177" s="1" t="s">
        <v>15</v>
      </c>
      <c r="G177" s="1">
        <v>14</v>
      </c>
      <c r="H177" s="1">
        <v>60</v>
      </c>
      <c r="I177" s="1">
        <v>840</v>
      </c>
      <c r="J177" s="1">
        <v>400</v>
      </c>
      <c r="K177" s="5">
        <f t="shared" si="4"/>
        <v>2.1</v>
      </c>
      <c r="L177" s="6">
        <f t="shared" si="5"/>
        <v>1.1000000000000001</v>
      </c>
    </row>
    <row r="178" spans="1:12">
      <c r="A178" s="7" t="s">
        <v>56</v>
      </c>
      <c r="B178" s="7" t="str">
        <f>TEXT(Table2[[#This Row],[Date]],"mmmm")</f>
        <v>June</v>
      </c>
      <c r="C178" s="1" t="s">
        <v>19</v>
      </c>
      <c r="D178" s="1" t="s">
        <v>13</v>
      </c>
      <c r="E178" s="1" t="s">
        <v>27</v>
      </c>
      <c r="F178" s="1" t="s">
        <v>22</v>
      </c>
      <c r="G178" s="1">
        <v>10</v>
      </c>
      <c r="H178" s="1">
        <v>40</v>
      </c>
      <c r="I178" s="1">
        <v>400</v>
      </c>
      <c r="J178" s="1">
        <v>400</v>
      </c>
      <c r="K178" s="5">
        <f t="shared" si="4"/>
        <v>1</v>
      </c>
      <c r="L178" s="6">
        <f t="shared" si="5"/>
        <v>0</v>
      </c>
    </row>
    <row r="179" spans="1:12">
      <c r="A179" s="7" t="s">
        <v>55</v>
      </c>
      <c r="B179" s="7" t="str">
        <f>TEXT(Table2[[#This Row],[Date]],"mmmm")</f>
        <v>June</v>
      </c>
      <c r="C179" s="1" t="s">
        <v>8</v>
      </c>
      <c r="D179" s="1" t="s">
        <v>20</v>
      </c>
      <c r="E179" s="1" t="s">
        <v>27</v>
      </c>
      <c r="F179" s="1" t="s">
        <v>22</v>
      </c>
      <c r="G179" s="1">
        <v>14</v>
      </c>
      <c r="H179" s="1">
        <v>60</v>
      </c>
      <c r="I179" s="1">
        <v>840</v>
      </c>
      <c r="J179" s="1">
        <v>400</v>
      </c>
      <c r="K179" s="5">
        <f t="shared" si="4"/>
        <v>2.1</v>
      </c>
      <c r="L179" s="6">
        <f t="shared" si="5"/>
        <v>1.1000000000000001</v>
      </c>
    </row>
    <row r="180" spans="1:12">
      <c r="A180" s="7" t="s">
        <v>54</v>
      </c>
      <c r="B180" s="7" t="str">
        <f>TEXT(Table2[[#This Row],[Date]],"mmmm")</f>
        <v>June</v>
      </c>
      <c r="C180" s="1" t="s">
        <v>19</v>
      </c>
      <c r="D180" s="1" t="s">
        <v>9</v>
      </c>
      <c r="E180" s="1" t="s">
        <v>21</v>
      </c>
      <c r="F180" s="1" t="s">
        <v>18</v>
      </c>
      <c r="G180" s="1">
        <v>10</v>
      </c>
      <c r="H180" s="1">
        <v>25</v>
      </c>
      <c r="I180" s="1">
        <v>250</v>
      </c>
      <c r="J180" s="1">
        <v>400</v>
      </c>
      <c r="K180" s="5">
        <f t="shared" si="4"/>
        <v>0.625</v>
      </c>
      <c r="L180" s="6">
        <f t="shared" si="5"/>
        <v>-0.375</v>
      </c>
    </row>
    <row r="181" spans="1:12">
      <c r="A181" s="7" t="s">
        <v>53</v>
      </c>
      <c r="B181" s="7" t="str">
        <f>TEXT(Table2[[#This Row],[Date]],"mmmm")</f>
        <v>June</v>
      </c>
      <c r="C181" s="1" t="s">
        <v>12</v>
      </c>
      <c r="D181" s="1" t="s">
        <v>20</v>
      </c>
      <c r="E181" s="1" t="s">
        <v>23</v>
      </c>
      <c r="F181" s="1" t="s">
        <v>22</v>
      </c>
      <c r="G181" s="1">
        <v>13</v>
      </c>
      <c r="H181" s="1">
        <v>30</v>
      </c>
      <c r="I181" s="1">
        <v>390</v>
      </c>
      <c r="J181" s="1">
        <v>400</v>
      </c>
      <c r="K181" s="5">
        <f t="shared" si="4"/>
        <v>0.97499999999999998</v>
      </c>
      <c r="L181" s="6">
        <f t="shared" si="5"/>
        <v>-2.5000000000000001E-2</v>
      </c>
    </row>
    <row r="182" spans="1:12">
      <c r="A182" s="7" t="s">
        <v>52</v>
      </c>
      <c r="B182" s="7" t="str">
        <f>TEXT(Table2[[#This Row],[Date]],"mmmm")</f>
        <v>June</v>
      </c>
      <c r="C182" s="1" t="s">
        <v>12</v>
      </c>
      <c r="D182" s="1" t="s">
        <v>20</v>
      </c>
      <c r="E182" s="1" t="s">
        <v>10</v>
      </c>
      <c r="F182" s="1" t="s">
        <v>15</v>
      </c>
      <c r="G182" s="1">
        <v>14</v>
      </c>
      <c r="H182" s="1">
        <v>40</v>
      </c>
      <c r="I182" s="1">
        <v>560</v>
      </c>
      <c r="J182" s="1">
        <v>400</v>
      </c>
      <c r="K182" s="5">
        <f t="shared" si="4"/>
        <v>1.4</v>
      </c>
      <c r="L182" s="6">
        <f t="shared" si="5"/>
        <v>0.4</v>
      </c>
    </row>
    <row r="183" spans="1:12">
      <c r="A183" s="7" t="s">
        <v>51</v>
      </c>
      <c r="B183" s="7" t="str">
        <f>TEXT(Table2[[#This Row],[Date]],"mmmm")</f>
        <v>June</v>
      </c>
      <c r="C183" s="1" t="s">
        <v>12</v>
      </c>
      <c r="D183" s="1" t="s">
        <v>20</v>
      </c>
      <c r="E183" s="1" t="s">
        <v>23</v>
      </c>
      <c r="F183" s="1" t="s">
        <v>18</v>
      </c>
      <c r="G183" s="1">
        <v>9</v>
      </c>
      <c r="H183" s="1">
        <v>30</v>
      </c>
      <c r="I183" s="1">
        <v>270</v>
      </c>
      <c r="J183" s="1">
        <v>400</v>
      </c>
      <c r="K183" s="5">
        <f t="shared" si="4"/>
        <v>0.67500000000000004</v>
      </c>
      <c r="L183" s="6">
        <f t="shared" si="5"/>
        <v>-0.32500000000000001</v>
      </c>
    </row>
    <row r="184" spans="1:12">
      <c r="A184" s="7" t="s">
        <v>50</v>
      </c>
      <c r="B184" s="7" t="str">
        <f>TEXT(Table2[[#This Row],[Date]],"mmmm")</f>
        <v>July</v>
      </c>
      <c r="C184" s="1" t="s">
        <v>8</v>
      </c>
      <c r="D184" s="1" t="s">
        <v>20</v>
      </c>
      <c r="E184" s="1" t="s">
        <v>21</v>
      </c>
      <c r="F184" s="1" t="s">
        <v>18</v>
      </c>
      <c r="G184" s="1">
        <v>13</v>
      </c>
      <c r="H184" s="1">
        <v>60</v>
      </c>
      <c r="I184" s="1">
        <v>780</v>
      </c>
      <c r="J184" s="1">
        <v>400</v>
      </c>
      <c r="K184" s="5">
        <f t="shared" si="4"/>
        <v>1.95</v>
      </c>
      <c r="L184" s="6">
        <f t="shared" si="5"/>
        <v>0.95</v>
      </c>
    </row>
    <row r="185" spans="1:12">
      <c r="A185" s="7" t="s">
        <v>49</v>
      </c>
      <c r="B185" s="7" t="str">
        <f>TEXT(Table2[[#This Row],[Date]],"mmmm")</f>
        <v>July</v>
      </c>
      <c r="C185" s="1" t="s">
        <v>8</v>
      </c>
      <c r="D185" s="1" t="s">
        <v>13</v>
      </c>
      <c r="E185" s="1" t="s">
        <v>21</v>
      </c>
      <c r="F185" s="1" t="s">
        <v>15</v>
      </c>
      <c r="G185" s="1">
        <v>5</v>
      </c>
      <c r="H185" s="1">
        <v>25</v>
      </c>
      <c r="I185" s="1">
        <v>125</v>
      </c>
      <c r="J185" s="1">
        <v>400</v>
      </c>
      <c r="K185" s="5">
        <f t="shared" si="4"/>
        <v>0.3125</v>
      </c>
      <c r="L185" s="6">
        <f t="shared" si="5"/>
        <v>-0.6875</v>
      </c>
    </row>
    <row r="186" spans="1:12">
      <c r="A186" s="7" t="s">
        <v>48</v>
      </c>
      <c r="B186" s="7" t="str">
        <f>TEXT(Table2[[#This Row],[Date]],"mmmm")</f>
        <v>July</v>
      </c>
      <c r="C186" s="1" t="s">
        <v>12</v>
      </c>
      <c r="D186" s="1" t="s">
        <v>13</v>
      </c>
      <c r="E186" s="1" t="s">
        <v>23</v>
      </c>
      <c r="F186" s="1" t="s">
        <v>18</v>
      </c>
      <c r="G186" s="1">
        <v>5</v>
      </c>
      <c r="H186" s="1">
        <v>25</v>
      </c>
      <c r="I186" s="1">
        <v>125</v>
      </c>
      <c r="J186" s="1">
        <v>400</v>
      </c>
      <c r="K186" s="5">
        <f t="shared" si="4"/>
        <v>0.3125</v>
      </c>
      <c r="L186" s="6">
        <f t="shared" si="5"/>
        <v>-0.6875</v>
      </c>
    </row>
    <row r="187" spans="1:12">
      <c r="A187" s="7" t="s">
        <v>47</v>
      </c>
      <c r="B187" s="7" t="str">
        <f>TEXT(Table2[[#This Row],[Date]],"mmmm")</f>
        <v>July</v>
      </c>
      <c r="C187" s="1" t="s">
        <v>19</v>
      </c>
      <c r="D187" s="1" t="s">
        <v>9</v>
      </c>
      <c r="E187" s="1" t="s">
        <v>23</v>
      </c>
      <c r="F187" s="1" t="s">
        <v>15</v>
      </c>
      <c r="G187" s="1">
        <v>15</v>
      </c>
      <c r="H187" s="1">
        <v>25</v>
      </c>
      <c r="I187" s="1">
        <v>375</v>
      </c>
      <c r="J187" s="1">
        <v>400</v>
      </c>
      <c r="K187" s="5">
        <f t="shared" si="4"/>
        <v>0.9375</v>
      </c>
      <c r="L187" s="6">
        <f t="shared" si="5"/>
        <v>-6.25E-2</v>
      </c>
    </row>
    <row r="188" spans="1:12">
      <c r="A188" s="7" t="s">
        <v>46</v>
      </c>
      <c r="B188" s="7" t="str">
        <f>TEXT(Table2[[#This Row],[Date]],"mmmm")</f>
        <v>July</v>
      </c>
      <c r="C188" s="1" t="s">
        <v>8</v>
      </c>
      <c r="D188" s="1" t="s">
        <v>9</v>
      </c>
      <c r="E188" s="1" t="s">
        <v>10</v>
      </c>
      <c r="F188" s="1" t="s">
        <v>18</v>
      </c>
      <c r="G188" s="1">
        <v>7</v>
      </c>
      <c r="H188" s="1">
        <v>30</v>
      </c>
      <c r="I188" s="1">
        <v>210</v>
      </c>
      <c r="J188" s="1">
        <v>400</v>
      </c>
      <c r="K188" s="5">
        <f t="shared" si="4"/>
        <v>0.52500000000000002</v>
      </c>
      <c r="L188" s="6">
        <f t="shared" si="5"/>
        <v>-0.47499999999999998</v>
      </c>
    </row>
    <row r="189" spans="1:12">
      <c r="A189" s="7" t="s">
        <v>45</v>
      </c>
      <c r="B189" s="7" t="str">
        <f>TEXT(Table2[[#This Row],[Date]],"mmmm")</f>
        <v>July</v>
      </c>
      <c r="C189" s="1" t="s">
        <v>16</v>
      </c>
      <c r="D189" s="1" t="s">
        <v>13</v>
      </c>
      <c r="E189" s="1" t="s">
        <v>21</v>
      </c>
      <c r="F189" s="1" t="s">
        <v>18</v>
      </c>
      <c r="G189" s="1">
        <v>12</v>
      </c>
      <c r="H189" s="1">
        <v>20</v>
      </c>
      <c r="I189" s="1">
        <v>240</v>
      </c>
      <c r="J189" s="1">
        <v>400</v>
      </c>
      <c r="K189" s="5">
        <f t="shared" si="4"/>
        <v>0.6</v>
      </c>
      <c r="L189" s="6">
        <f t="shared" si="5"/>
        <v>-0.4</v>
      </c>
    </row>
    <row r="190" spans="1:12">
      <c r="A190" s="7" t="s">
        <v>44</v>
      </c>
      <c r="B190" s="7" t="str">
        <f>TEXT(Table2[[#This Row],[Date]],"mmmm")</f>
        <v>July</v>
      </c>
      <c r="C190" s="1" t="s">
        <v>16</v>
      </c>
      <c r="D190" s="1" t="s">
        <v>13</v>
      </c>
      <c r="E190" s="1" t="s">
        <v>14</v>
      </c>
      <c r="F190" s="1" t="s">
        <v>22</v>
      </c>
      <c r="G190" s="1">
        <v>9</v>
      </c>
      <c r="H190" s="1">
        <v>20</v>
      </c>
      <c r="I190" s="1">
        <v>180</v>
      </c>
      <c r="J190" s="1">
        <v>400</v>
      </c>
      <c r="K190" s="5">
        <f t="shared" si="4"/>
        <v>0.45</v>
      </c>
      <c r="L190" s="6">
        <f t="shared" si="5"/>
        <v>-0.55000000000000004</v>
      </c>
    </row>
    <row r="191" spans="1:12">
      <c r="A191" s="7" t="s">
        <v>43</v>
      </c>
      <c r="B191" s="7" t="str">
        <f>TEXT(Table2[[#This Row],[Date]],"mmmm")</f>
        <v>July</v>
      </c>
      <c r="C191" s="1" t="s">
        <v>12</v>
      </c>
      <c r="D191" s="1" t="s">
        <v>9</v>
      </c>
      <c r="E191" s="1" t="s">
        <v>27</v>
      </c>
      <c r="F191" s="1" t="s">
        <v>18</v>
      </c>
      <c r="G191" s="1">
        <v>9</v>
      </c>
      <c r="H191" s="1">
        <v>20</v>
      </c>
      <c r="I191" s="1">
        <v>180</v>
      </c>
      <c r="J191" s="1">
        <v>400</v>
      </c>
      <c r="K191" s="5">
        <f t="shared" si="4"/>
        <v>0.45</v>
      </c>
      <c r="L191" s="6">
        <f t="shared" si="5"/>
        <v>-0.55000000000000004</v>
      </c>
    </row>
    <row r="192" spans="1:12">
      <c r="A192" s="7" t="s">
        <v>42</v>
      </c>
      <c r="B192" s="7" t="str">
        <f>TEXT(Table2[[#This Row],[Date]],"mmmm")</f>
        <v>July</v>
      </c>
      <c r="C192" s="1" t="s">
        <v>16</v>
      </c>
      <c r="D192" s="1" t="s">
        <v>9</v>
      </c>
      <c r="E192" s="1" t="s">
        <v>17</v>
      </c>
      <c r="F192" s="1" t="s">
        <v>18</v>
      </c>
      <c r="G192" s="1">
        <v>12</v>
      </c>
      <c r="H192" s="1">
        <v>30</v>
      </c>
      <c r="I192" s="1">
        <v>360</v>
      </c>
      <c r="J192" s="1">
        <v>400</v>
      </c>
      <c r="K192" s="5">
        <f t="shared" si="4"/>
        <v>0.9</v>
      </c>
      <c r="L192" s="6">
        <f t="shared" si="5"/>
        <v>-0.1</v>
      </c>
    </row>
    <row r="193" spans="1:12">
      <c r="A193" s="7" t="s">
        <v>41</v>
      </c>
      <c r="B193" s="7" t="str">
        <f>TEXT(Table2[[#This Row],[Date]],"mmmm")</f>
        <v>July</v>
      </c>
      <c r="C193" s="1" t="s">
        <v>19</v>
      </c>
      <c r="D193" s="1" t="s">
        <v>13</v>
      </c>
      <c r="E193" s="1" t="s">
        <v>17</v>
      </c>
      <c r="F193" s="1" t="s">
        <v>22</v>
      </c>
      <c r="G193" s="1">
        <v>5</v>
      </c>
      <c r="H193" s="1">
        <v>30</v>
      </c>
      <c r="I193" s="1">
        <v>150</v>
      </c>
      <c r="J193" s="1">
        <v>400</v>
      </c>
      <c r="K193" s="5">
        <f t="shared" si="4"/>
        <v>0.375</v>
      </c>
      <c r="L193" s="6">
        <f t="shared" si="5"/>
        <v>-0.625</v>
      </c>
    </row>
    <row r="194" spans="1:12">
      <c r="A194" s="7" t="s">
        <v>40</v>
      </c>
      <c r="B194" s="7" t="str">
        <f>TEXT(Table2[[#This Row],[Date]],"mmmm")</f>
        <v>July</v>
      </c>
      <c r="C194" s="1" t="s">
        <v>16</v>
      </c>
      <c r="D194" s="1" t="s">
        <v>20</v>
      </c>
      <c r="E194" s="1" t="s">
        <v>17</v>
      </c>
      <c r="F194" s="1" t="s">
        <v>15</v>
      </c>
      <c r="G194" s="1">
        <v>10</v>
      </c>
      <c r="H194" s="1">
        <v>40</v>
      </c>
      <c r="I194" s="1">
        <v>400</v>
      </c>
      <c r="J194" s="1">
        <v>400</v>
      </c>
      <c r="K194" s="5">
        <f t="shared" ref="K194:K201" si="6">(I194/J194)</f>
        <v>1</v>
      </c>
      <c r="L194" s="6">
        <f t="shared" ref="L194:L201" si="7">(I194-J194)/J194</f>
        <v>0</v>
      </c>
    </row>
    <row r="195" spans="1:12">
      <c r="A195" s="7" t="s">
        <v>39</v>
      </c>
      <c r="B195" s="7" t="str">
        <f>TEXT(Table2[[#This Row],[Date]],"mmmm")</f>
        <v>July</v>
      </c>
      <c r="C195" s="1" t="s">
        <v>19</v>
      </c>
      <c r="D195" s="1" t="s">
        <v>9</v>
      </c>
      <c r="E195" s="1" t="s">
        <v>23</v>
      </c>
      <c r="F195" s="1" t="s">
        <v>22</v>
      </c>
      <c r="G195" s="1">
        <v>11</v>
      </c>
      <c r="H195" s="1">
        <v>30</v>
      </c>
      <c r="I195" s="1">
        <v>330</v>
      </c>
      <c r="J195" s="1">
        <v>400</v>
      </c>
      <c r="K195" s="5">
        <f t="shared" si="6"/>
        <v>0.82499999999999996</v>
      </c>
      <c r="L195" s="6">
        <f t="shared" si="7"/>
        <v>-0.17499999999999999</v>
      </c>
    </row>
    <row r="196" spans="1:12">
      <c r="A196" s="7" t="s">
        <v>38</v>
      </c>
      <c r="B196" s="7" t="str">
        <f>TEXT(Table2[[#This Row],[Date]],"mmmm")</f>
        <v>July</v>
      </c>
      <c r="C196" s="1" t="s">
        <v>16</v>
      </c>
      <c r="D196" s="1" t="s">
        <v>20</v>
      </c>
      <c r="E196" s="1" t="s">
        <v>27</v>
      </c>
      <c r="F196" s="1" t="s">
        <v>15</v>
      </c>
      <c r="G196" s="1">
        <v>10</v>
      </c>
      <c r="H196" s="1">
        <v>20</v>
      </c>
      <c r="I196" s="1">
        <v>200</v>
      </c>
      <c r="J196" s="1">
        <v>400</v>
      </c>
      <c r="K196" s="5">
        <f t="shared" si="6"/>
        <v>0.5</v>
      </c>
      <c r="L196" s="6">
        <f t="shared" si="7"/>
        <v>-0.5</v>
      </c>
    </row>
    <row r="197" spans="1:12">
      <c r="A197" s="7" t="s">
        <v>37</v>
      </c>
      <c r="B197" s="7" t="str">
        <f>TEXT(Table2[[#This Row],[Date]],"mmmm")</f>
        <v>July</v>
      </c>
      <c r="C197" s="1" t="s">
        <v>19</v>
      </c>
      <c r="D197" s="1" t="s">
        <v>20</v>
      </c>
      <c r="E197" s="1" t="s">
        <v>17</v>
      </c>
      <c r="F197" s="1" t="s">
        <v>18</v>
      </c>
      <c r="G197" s="1">
        <v>14</v>
      </c>
      <c r="H197" s="1">
        <v>30</v>
      </c>
      <c r="I197" s="1">
        <v>420</v>
      </c>
      <c r="J197" s="1">
        <v>400</v>
      </c>
      <c r="K197" s="5">
        <f t="shared" si="6"/>
        <v>1.05</v>
      </c>
      <c r="L197" s="6">
        <f t="shared" si="7"/>
        <v>0.05</v>
      </c>
    </row>
    <row r="198" spans="1:12">
      <c r="A198" s="7" t="s">
        <v>36</v>
      </c>
      <c r="B198" s="7" t="str">
        <f>TEXT(Table2[[#This Row],[Date]],"mmmm")</f>
        <v>July</v>
      </c>
      <c r="C198" s="1" t="s">
        <v>8</v>
      </c>
      <c r="D198" s="1" t="s">
        <v>9</v>
      </c>
      <c r="E198" s="1" t="s">
        <v>21</v>
      </c>
      <c r="F198" s="1" t="s">
        <v>18</v>
      </c>
      <c r="G198" s="1">
        <v>14</v>
      </c>
      <c r="H198" s="1">
        <v>50</v>
      </c>
      <c r="I198" s="1">
        <v>700</v>
      </c>
      <c r="J198" s="1">
        <v>400</v>
      </c>
      <c r="K198" s="5">
        <f t="shared" si="6"/>
        <v>1.75</v>
      </c>
      <c r="L198" s="6">
        <f t="shared" si="7"/>
        <v>0.75</v>
      </c>
    </row>
    <row r="199" spans="1:12">
      <c r="A199" s="7" t="s">
        <v>35</v>
      </c>
      <c r="B199" s="7" t="str">
        <f>TEXT(Table2[[#This Row],[Date]],"mmmm")</f>
        <v>July</v>
      </c>
      <c r="C199" s="1" t="s">
        <v>19</v>
      </c>
      <c r="D199" s="1" t="s">
        <v>9</v>
      </c>
      <c r="E199" s="1" t="s">
        <v>10</v>
      </c>
      <c r="F199" s="1" t="s">
        <v>18</v>
      </c>
      <c r="G199" s="1">
        <v>6</v>
      </c>
      <c r="H199" s="1">
        <v>40</v>
      </c>
      <c r="I199" s="1">
        <v>240</v>
      </c>
      <c r="J199" s="1">
        <v>400</v>
      </c>
      <c r="K199" s="5">
        <f t="shared" si="6"/>
        <v>0.6</v>
      </c>
      <c r="L199" s="6">
        <f t="shared" si="7"/>
        <v>-0.4</v>
      </c>
    </row>
    <row r="200" spans="1:12">
      <c r="A200" s="7" t="s">
        <v>34</v>
      </c>
      <c r="B200" s="7" t="str">
        <f>TEXT(Table2[[#This Row],[Date]],"mmmm")</f>
        <v>July</v>
      </c>
      <c r="C200" s="1" t="s">
        <v>12</v>
      </c>
      <c r="D200" s="1" t="s">
        <v>20</v>
      </c>
      <c r="E200" s="1" t="s">
        <v>14</v>
      </c>
      <c r="F200" s="1" t="s">
        <v>15</v>
      </c>
      <c r="G200" s="1">
        <v>9</v>
      </c>
      <c r="H200" s="1">
        <v>50</v>
      </c>
      <c r="I200" s="1">
        <v>450</v>
      </c>
      <c r="J200" s="1">
        <v>400</v>
      </c>
      <c r="K200" s="5">
        <f t="shared" si="6"/>
        <v>1.125</v>
      </c>
      <c r="L200" s="6">
        <f t="shared" si="7"/>
        <v>0.125</v>
      </c>
    </row>
    <row r="201" spans="1:12">
      <c r="A201" s="8" t="s">
        <v>33</v>
      </c>
      <c r="B201" s="8" t="str">
        <f>TEXT(Table2[[#This Row],[Date]],"mmmm")</f>
        <v>July</v>
      </c>
      <c r="C201" s="4" t="s">
        <v>12</v>
      </c>
      <c r="D201" s="4" t="s">
        <v>13</v>
      </c>
      <c r="E201" s="4" t="s">
        <v>27</v>
      </c>
      <c r="F201" s="4" t="s">
        <v>15</v>
      </c>
      <c r="G201" s="4">
        <v>13</v>
      </c>
      <c r="H201" s="4">
        <v>40</v>
      </c>
      <c r="I201" s="4">
        <v>520</v>
      </c>
      <c r="J201" s="4">
        <v>400</v>
      </c>
      <c r="K201" s="5">
        <f t="shared" si="6"/>
        <v>1.3</v>
      </c>
      <c r="L201" s="6">
        <f t="shared" si="7"/>
        <v>0.3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963B1-E7E9-4D96-B556-E9772D0ECCC0}">
  <sheetPr codeName="Sheet1"/>
  <dimension ref="A1:AA26"/>
  <sheetViews>
    <sheetView showGridLines="0" zoomScale="62" zoomScaleNormal="92" workbookViewId="0">
      <selection activeCell="T8" sqref="T8:U8"/>
    </sheetView>
  </sheetViews>
  <sheetFormatPr defaultRowHeight="14.4"/>
  <cols>
    <col min="1" max="1" width="13.77734375" customWidth="1"/>
    <col min="2" max="2" width="5.109375" customWidth="1"/>
    <col min="3" max="3" width="15.109375" bestFit="1" customWidth="1"/>
    <col min="4" max="4" width="14" customWidth="1"/>
    <col min="5" max="5" width="11.6640625" bestFit="1" customWidth="1"/>
    <col min="6" max="6" width="16.6640625" bestFit="1" customWidth="1"/>
    <col min="7" max="7" width="14.33203125" bestFit="1" customWidth="1"/>
    <col min="8" max="8" width="8.21875" customWidth="1"/>
    <col min="9" max="9" width="15.33203125" bestFit="1" customWidth="1"/>
    <col min="10" max="10" width="21.109375" customWidth="1"/>
    <col min="11" max="11" width="6.44140625" bestFit="1" customWidth="1"/>
    <col min="12" max="12" width="16.6640625" bestFit="1" customWidth="1"/>
    <col min="13" max="13" width="14.88671875" bestFit="1" customWidth="1"/>
    <col min="14" max="14" width="13.109375" customWidth="1"/>
    <col min="15" max="15" width="11.88671875" customWidth="1"/>
    <col min="16" max="16" width="11.5546875" customWidth="1"/>
    <col min="17" max="17" width="8.88671875" customWidth="1"/>
    <col min="27" max="27" width="60.44140625" customWidth="1"/>
  </cols>
  <sheetData>
    <row r="1" spans="1:27" ht="31.8" customHeight="1">
      <c r="A1" s="39"/>
      <c r="B1" s="33" t="s">
        <v>260</v>
      </c>
      <c r="C1" s="33"/>
      <c r="D1" s="33"/>
      <c r="E1" s="33"/>
      <c r="F1" s="33"/>
      <c r="G1" s="33"/>
      <c r="H1" s="33"/>
      <c r="I1" s="33"/>
      <c r="J1" s="33"/>
      <c r="K1" s="33"/>
      <c r="L1" s="33"/>
      <c r="M1" s="33"/>
      <c r="N1" s="33"/>
      <c r="O1" s="33"/>
      <c r="P1" s="33"/>
      <c r="Q1" s="33"/>
      <c r="R1" s="33"/>
      <c r="S1" s="33"/>
      <c r="T1" s="33"/>
      <c r="U1" s="33"/>
      <c r="V1" s="33"/>
      <c r="W1" s="33"/>
    </row>
    <row r="3" spans="1:27">
      <c r="A3" s="35"/>
      <c r="B3" s="35"/>
      <c r="C3" s="35"/>
      <c r="D3" s="35"/>
      <c r="E3" s="36"/>
      <c r="F3" s="36"/>
      <c r="G3" s="36"/>
      <c r="H3" s="36"/>
    </row>
    <row r="4" spans="1:27">
      <c r="A4" s="35"/>
      <c r="B4" s="35"/>
      <c r="C4" s="35"/>
      <c r="D4" s="35"/>
      <c r="E4" s="36"/>
      <c r="F4" s="36"/>
      <c r="G4" s="36"/>
      <c r="H4" s="36"/>
    </row>
    <row r="5" spans="1:27">
      <c r="A5" s="35"/>
      <c r="B5" s="35"/>
      <c r="C5" s="35"/>
      <c r="D5" s="35"/>
      <c r="E5" s="36"/>
      <c r="F5" s="36"/>
      <c r="G5" s="36"/>
      <c r="H5" s="36"/>
    </row>
    <row r="6" spans="1:27">
      <c r="A6" s="35"/>
      <c r="B6" s="35"/>
      <c r="C6" s="35"/>
      <c r="D6" s="35"/>
      <c r="E6" s="36"/>
      <c r="F6" s="36"/>
      <c r="G6" s="36"/>
      <c r="H6" s="36"/>
      <c r="AA6" s="29"/>
    </row>
    <row r="7" spans="1:27">
      <c r="A7" s="35"/>
      <c r="B7" s="35"/>
      <c r="C7" s="35"/>
      <c r="D7" s="35"/>
      <c r="E7" s="36"/>
      <c r="F7" s="36"/>
      <c r="G7" s="36"/>
      <c r="H7" s="36"/>
      <c r="AA7" s="29"/>
    </row>
    <row r="8" spans="1:27" ht="18">
      <c r="A8" s="37">
        <f>GETPIVOTDATA("[Measures].[Sum of Sales]",$C$12)</f>
        <v>75165</v>
      </c>
      <c r="B8" s="37"/>
      <c r="C8" s="37"/>
      <c r="D8" s="37"/>
      <c r="E8" s="38">
        <f>GETPIVOTDATA("[Measures].[Sum of Target Hit %]",$F$12)</f>
        <v>187.91249999999999</v>
      </c>
      <c r="F8" s="38"/>
      <c r="G8" s="38"/>
      <c r="H8" s="38"/>
      <c r="J8" s="11" t="str">
        <f>L13</f>
        <v>East</v>
      </c>
      <c r="M8" s="17" t="str">
        <f>L21</f>
        <v>Dairy</v>
      </c>
      <c r="N8" s="17"/>
      <c r="P8" s="17" t="str">
        <f>C20</f>
        <v>Chips</v>
      </c>
      <c r="Q8" s="17"/>
      <c r="T8" s="17" t="str">
        <f>F13</f>
        <v>Raj</v>
      </c>
      <c r="U8" s="17"/>
      <c r="AA8" s="29"/>
    </row>
    <row r="9" spans="1:27">
      <c r="AA9" s="29"/>
    </row>
    <row r="10" spans="1:27">
      <c r="AA10" s="29"/>
    </row>
    <row r="11" spans="1:27">
      <c r="AA11" s="30"/>
    </row>
    <row r="12" spans="1:27">
      <c r="C12" s="12" t="s">
        <v>25</v>
      </c>
      <c r="D12" s="1" t="s">
        <v>24</v>
      </c>
      <c r="F12" s="12" t="s">
        <v>25</v>
      </c>
      <c r="G12" s="1" t="s">
        <v>32</v>
      </c>
      <c r="I12" s="12" t="s">
        <v>25</v>
      </c>
      <c r="J12" s="1" t="s">
        <v>233</v>
      </c>
      <c r="L12" s="12" t="s">
        <v>1</v>
      </c>
      <c r="M12" s="1" t="s">
        <v>24</v>
      </c>
      <c r="O12" s="12" t="s">
        <v>234</v>
      </c>
      <c r="P12" s="1" t="s">
        <v>24</v>
      </c>
      <c r="AA12" s="30"/>
    </row>
    <row r="13" spans="1:27">
      <c r="C13" s="13" t="s">
        <v>18</v>
      </c>
      <c r="D13" s="20">
        <v>26115</v>
      </c>
      <c r="F13" s="13" t="s">
        <v>18</v>
      </c>
      <c r="G13" s="14">
        <v>65.287499999999994</v>
      </c>
      <c r="I13" s="13" t="s">
        <v>22</v>
      </c>
      <c r="J13" s="14">
        <v>-6.25E-2</v>
      </c>
      <c r="L13" s="13" t="s">
        <v>12</v>
      </c>
      <c r="M13" s="20">
        <v>21260</v>
      </c>
      <c r="O13" s="13" t="s">
        <v>241</v>
      </c>
      <c r="P13" s="20">
        <v>12785</v>
      </c>
      <c r="AA13" s="30"/>
    </row>
    <row r="14" spans="1:27">
      <c r="C14" s="13" t="s">
        <v>22</v>
      </c>
      <c r="D14" s="20">
        <v>21575</v>
      </c>
      <c r="F14" s="13" t="s">
        <v>22</v>
      </c>
      <c r="G14" s="14">
        <v>53.9375</v>
      </c>
      <c r="I14" s="13" t="s">
        <v>15</v>
      </c>
      <c r="J14" s="14">
        <v>-6.25E-2</v>
      </c>
      <c r="L14" s="13" t="s">
        <v>19</v>
      </c>
      <c r="M14" s="20">
        <v>19505</v>
      </c>
      <c r="O14" s="13" t="s">
        <v>239</v>
      </c>
      <c r="P14" s="20">
        <v>12540</v>
      </c>
      <c r="AA14" s="30"/>
    </row>
    <row r="15" spans="1:27">
      <c r="C15" s="13" t="s">
        <v>15</v>
      </c>
      <c r="D15" s="20">
        <v>16375</v>
      </c>
      <c r="F15" s="13" t="s">
        <v>15</v>
      </c>
      <c r="G15" s="14">
        <v>40.9375</v>
      </c>
      <c r="I15" s="13" t="s">
        <v>11</v>
      </c>
      <c r="J15" s="14">
        <v>-2.25</v>
      </c>
      <c r="L15" s="13" t="s">
        <v>8</v>
      </c>
      <c r="M15" s="20">
        <v>18015</v>
      </c>
      <c r="O15" s="13" t="s">
        <v>235</v>
      </c>
      <c r="P15" s="20">
        <v>12200</v>
      </c>
    </row>
    <row r="16" spans="1:27">
      <c r="C16" s="13" t="s">
        <v>11</v>
      </c>
      <c r="D16" s="20">
        <v>11100</v>
      </c>
      <c r="F16" s="13" t="s">
        <v>11</v>
      </c>
      <c r="G16" s="14">
        <v>27.75</v>
      </c>
      <c r="I16" s="13" t="s">
        <v>18</v>
      </c>
      <c r="J16" s="14">
        <v>-9.7125000000000004</v>
      </c>
      <c r="L16" s="13" t="s">
        <v>16</v>
      </c>
      <c r="M16" s="20">
        <v>16385</v>
      </c>
      <c r="O16" s="13" t="s">
        <v>240</v>
      </c>
      <c r="P16" s="20">
        <v>11055</v>
      </c>
    </row>
    <row r="17" spans="3:16">
      <c r="C17" s="22" t="s">
        <v>28</v>
      </c>
      <c r="D17" s="21">
        <v>75165</v>
      </c>
      <c r="F17" s="18" t="s">
        <v>28</v>
      </c>
      <c r="G17" s="19">
        <v>187.91249999999999</v>
      </c>
      <c r="I17" s="22" t="s">
        <v>28</v>
      </c>
      <c r="J17" s="23">
        <v>-12.0875</v>
      </c>
      <c r="L17" s="18" t="s">
        <v>28</v>
      </c>
      <c r="M17" s="24">
        <v>75165</v>
      </c>
      <c r="O17" s="13" t="s">
        <v>237</v>
      </c>
      <c r="P17" s="20">
        <v>10640</v>
      </c>
    </row>
    <row r="18" spans="3:16">
      <c r="O18" s="13" t="s">
        <v>236</v>
      </c>
      <c r="P18" s="20">
        <v>9960</v>
      </c>
    </row>
    <row r="19" spans="3:16">
      <c r="C19" s="12" t="s">
        <v>30</v>
      </c>
      <c r="D19" s="1" t="s">
        <v>24</v>
      </c>
      <c r="O19" s="13" t="s">
        <v>238</v>
      </c>
      <c r="P19" s="20">
        <v>5985</v>
      </c>
    </row>
    <row r="20" spans="3:16">
      <c r="C20" s="13" t="s">
        <v>10</v>
      </c>
      <c r="D20" s="20">
        <v>15360</v>
      </c>
      <c r="F20" s="12" t="s">
        <v>24</v>
      </c>
      <c r="G20" s="12" t="s">
        <v>29</v>
      </c>
      <c r="H20" s="1"/>
      <c r="I20" s="1"/>
      <c r="J20" s="1"/>
      <c r="L20" s="12" t="s">
        <v>242</v>
      </c>
      <c r="M20" s="1" t="s">
        <v>26</v>
      </c>
      <c r="N20" s="1" t="s">
        <v>24</v>
      </c>
    </row>
    <row r="21" spans="3:16">
      <c r="C21" s="13" t="s">
        <v>17</v>
      </c>
      <c r="D21" s="20">
        <v>13410</v>
      </c>
      <c r="F21" s="12" t="s">
        <v>242</v>
      </c>
      <c r="G21" s="15" t="s">
        <v>12</v>
      </c>
      <c r="H21" s="15" t="s">
        <v>16</v>
      </c>
      <c r="I21" s="15" t="s">
        <v>19</v>
      </c>
      <c r="J21" s="15" t="s">
        <v>8</v>
      </c>
      <c r="L21" s="13" t="s">
        <v>20</v>
      </c>
      <c r="M21" s="20">
        <v>783</v>
      </c>
      <c r="N21" s="20">
        <v>30465</v>
      </c>
      <c r="P21" s="16"/>
    </row>
    <row r="22" spans="3:16">
      <c r="C22" s="13" t="s">
        <v>23</v>
      </c>
      <c r="D22" s="20">
        <v>13070</v>
      </c>
      <c r="F22" s="13" t="s">
        <v>9</v>
      </c>
      <c r="G22" s="20">
        <v>7645</v>
      </c>
      <c r="H22" s="20">
        <v>4655</v>
      </c>
      <c r="I22" s="20">
        <v>6475</v>
      </c>
      <c r="J22" s="20">
        <v>3875</v>
      </c>
      <c r="L22" s="13" t="s">
        <v>9</v>
      </c>
      <c r="M22" s="20">
        <v>609</v>
      </c>
      <c r="N22" s="20">
        <v>22650</v>
      </c>
    </row>
    <row r="23" spans="3:16">
      <c r="C23" s="13" t="s">
        <v>27</v>
      </c>
      <c r="D23" s="20">
        <v>11560</v>
      </c>
      <c r="F23" s="13" t="s">
        <v>20</v>
      </c>
      <c r="G23" s="20">
        <v>7475</v>
      </c>
      <c r="H23" s="20">
        <v>7640</v>
      </c>
      <c r="I23" s="20">
        <v>5290</v>
      </c>
      <c r="J23" s="20">
        <v>10060</v>
      </c>
      <c r="L23" s="13" t="s">
        <v>13</v>
      </c>
      <c r="M23" s="20">
        <v>606</v>
      </c>
      <c r="N23" s="20">
        <v>22050</v>
      </c>
    </row>
    <row r="24" spans="3:16">
      <c r="C24" s="13" t="s">
        <v>21</v>
      </c>
      <c r="D24" s="20">
        <v>10950</v>
      </c>
      <c r="F24" s="13" t="s">
        <v>13</v>
      </c>
      <c r="G24" s="20">
        <v>6140</v>
      </c>
      <c r="H24" s="20">
        <v>4090</v>
      </c>
      <c r="I24" s="20">
        <v>7740</v>
      </c>
      <c r="J24" s="20">
        <v>4080</v>
      </c>
      <c r="L24" s="26" t="s">
        <v>28</v>
      </c>
      <c r="M24" s="25">
        <v>1998</v>
      </c>
      <c r="N24" s="25">
        <v>75165</v>
      </c>
    </row>
    <row r="25" spans="3:16">
      <c r="C25" s="13" t="s">
        <v>14</v>
      </c>
      <c r="D25" s="20">
        <v>10815</v>
      </c>
      <c r="F25" s="28" t="s">
        <v>28</v>
      </c>
      <c r="G25" s="27">
        <v>21260</v>
      </c>
      <c r="H25" s="27">
        <v>16385</v>
      </c>
      <c r="I25" s="27">
        <v>19505</v>
      </c>
      <c r="J25" s="27">
        <v>18015</v>
      </c>
    </row>
    <row r="26" spans="3:16">
      <c r="C26" s="18" t="s">
        <v>28</v>
      </c>
      <c r="D26" s="24">
        <v>75165</v>
      </c>
    </row>
  </sheetData>
  <mergeCells count="16">
    <mergeCell ref="A8:D8"/>
    <mergeCell ref="E8:H8"/>
    <mergeCell ref="B1:W1"/>
    <mergeCell ref="A5:D5"/>
    <mergeCell ref="E5:H5"/>
    <mergeCell ref="A6:D6"/>
    <mergeCell ref="E6:H6"/>
    <mergeCell ref="A7:D7"/>
    <mergeCell ref="E7:H7"/>
    <mergeCell ref="A3:D3"/>
    <mergeCell ref="E3:H3"/>
    <mergeCell ref="A4:D4"/>
    <mergeCell ref="E4:H4"/>
    <mergeCell ref="T8:U8"/>
    <mergeCell ref="M8:N8"/>
    <mergeCell ref="P8:Q8"/>
  </mergeCells>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F5DDB-2FA9-4EE9-926B-AC8C3042228D}">
  <sheetPr codeName="Sheet8"/>
  <dimension ref="A1:B24"/>
  <sheetViews>
    <sheetView tabSelected="1" workbookViewId="0">
      <selection activeCell="K24" sqref="K24"/>
    </sheetView>
  </sheetViews>
  <sheetFormatPr defaultRowHeight="14.4"/>
  <cols>
    <col min="1" max="1" width="32.77734375" customWidth="1"/>
    <col min="2" max="2" width="20.77734375" customWidth="1"/>
  </cols>
  <sheetData>
    <row r="1" spans="1:2" ht="21">
      <c r="A1" s="34" t="s">
        <v>243</v>
      </c>
      <c r="B1" s="34"/>
    </row>
    <row r="3" spans="1:2">
      <c r="A3" s="31" t="s">
        <v>24</v>
      </c>
      <c r="B3" s="1">
        <v>75165</v>
      </c>
    </row>
    <row r="4" spans="1:2">
      <c r="A4" s="31" t="s">
        <v>244</v>
      </c>
      <c r="B4" s="1">
        <v>187.91249999999999</v>
      </c>
    </row>
    <row r="5" spans="1:2">
      <c r="A5" s="31" t="s">
        <v>245</v>
      </c>
      <c r="B5" s="1" t="s">
        <v>12</v>
      </c>
    </row>
    <row r="6" spans="1:2">
      <c r="A6" s="31" t="s">
        <v>246</v>
      </c>
      <c r="B6" s="1" t="s">
        <v>20</v>
      </c>
    </row>
    <row r="7" spans="1:2">
      <c r="A7" s="31" t="s">
        <v>247</v>
      </c>
      <c r="B7" s="1" t="s">
        <v>10</v>
      </c>
    </row>
    <row r="8" spans="1:2">
      <c r="A8" s="31" t="s">
        <v>248</v>
      </c>
      <c r="B8" s="1" t="s">
        <v>18</v>
      </c>
    </row>
    <row r="11" spans="1:2" ht="18">
      <c r="A11" s="32" t="s">
        <v>252</v>
      </c>
    </row>
    <row r="13" spans="1:2">
      <c r="A13" t="s">
        <v>250</v>
      </c>
    </row>
    <row r="14" spans="1:2">
      <c r="A14" t="s">
        <v>253</v>
      </c>
    </row>
    <row r="15" spans="1:2">
      <c r="A15" t="s">
        <v>249</v>
      </c>
    </row>
    <row r="16" spans="1:2">
      <c r="A16" t="s">
        <v>254</v>
      </c>
    </row>
    <row r="17" spans="1:1">
      <c r="A17" t="s">
        <v>251</v>
      </c>
    </row>
    <row r="19" spans="1:1">
      <c r="A19" s="16" t="s">
        <v>255</v>
      </c>
    </row>
    <row r="21" spans="1:1">
      <c r="A21" t="s">
        <v>256</v>
      </c>
    </row>
    <row r="22" spans="1:1">
      <c r="A22" t="s">
        <v>257</v>
      </c>
    </row>
    <row r="23" spans="1:1">
      <c r="A23" t="s">
        <v>258</v>
      </c>
    </row>
    <row r="24" spans="1:1">
      <c r="A24" t="s">
        <v>259</v>
      </c>
    </row>
  </sheetData>
  <mergeCells count="1">
    <mergeCell ref="A1:B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563EA7FE-A51A-4125-9652-256569555017}">
  <ds:schemaRefs/>
</ds:datastoreItem>
</file>

<file path=customXml/itemProps2.xml><?xml version="1.0" encoding="utf-8"?>
<ds:datastoreItem xmlns:ds="http://schemas.openxmlformats.org/officeDocument/2006/customXml" ds:itemID="{680562F1-E055-45DC-881D-8DE4E7F17F5F}">
  <ds:schemaRefs/>
</ds:datastoreItem>
</file>

<file path=customXml/itemProps3.xml><?xml version="1.0" encoding="utf-8"?>
<ds:datastoreItem xmlns:ds="http://schemas.openxmlformats.org/officeDocument/2006/customXml" ds:itemID="{FD804824-8553-4581-984A-22D385741840}">
  <ds:schemaRefs/>
</ds:datastoreItem>
</file>

<file path=customXml/itemProps4.xml><?xml version="1.0" encoding="utf-8"?>
<ds:datastoreItem xmlns:ds="http://schemas.openxmlformats.org/officeDocument/2006/customXml" ds:itemID="{BFEBF39C-E33B-4245-8CC2-54FFEC54E2AC}">
  <ds:schemaRefs/>
</ds:datastoreItem>
</file>

<file path=customXml/itemProps5.xml><?xml version="1.0" encoding="utf-8"?>
<ds:datastoreItem xmlns:ds="http://schemas.openxmlformats.org/officeDocument/2006/customXml" ds:itemID="{1DECA708-D028-4C9A-A7D5-5041B3B2887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Raw Data</vt:lpstr>
      <vt:lpstr>Dashboard</vt:lpstr>
      <vt:lpstr>Summary</vt:lpstr>
      <vt:lpstr>SalesTable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Asmika Panchal</dc:creator>
  <cp:lastModifiedBy>Asmika Panchal</cp:lastModifiedBy>
  <dcterms:created xsi:type="dcterms:W3CDTF">2026-03-23T10:13:20Z</dcterms:created>
  <dcterms:modified xsi:type="dcterms:W3CDTF">2026-03-24T08:38:54Z</dcterms:modified>
</cp:coreProperties>
</file>